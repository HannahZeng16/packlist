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清单" sheetId="2" state="visible" r:id="rId2"/>
    <sheet name="预算" sheetId="3" state="visible" r:id="rId3"/>
    <sheet name="说明与来源" sheetId="4" state="visible" r:id="rId4"/>
  </sheets>
  <definedNames>
    <definedName name="_xlnm._FilterDatabase" localSheetId="1" hidden="1">'清单'!$A$1:$J$490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0 &quot;天&quot;"/>
    <numFmt numFmtId="166" formatCode="&quot;¥&quot;#,##0"/>
    <numFmt numFmtId="167" formatCode="#,##0;;-"/>
    <numFmt numFmtId="168" formatCode="mm-dd"/>
    <numFmt numFmtId="169" formatCode="&quot;¥&quot;#,##0;;-"/>
    <numFmt numFmtId="170" formatCode="&quot;¥&quot;#,##0;[Red]-&quot;¥&quot;#,##0;-"/>
  </numFmts>
  <fonts count="19">
    <font>
      <name val="Calibri"/>
      <family val="2"/>
      <color theme="1"/>
      <sz val="11"/>
      <scheme val="minor"/>
    </font>
    <font>
      <name val="Arial"/>
      <b val="1"/>
      <color rgb="001A241F"/>
      <sz val="18"/>
    </font>
    <font>
      <name val="Arial"/>
      <color rgb="006B7A72"/>
      <sz val="9"/>
    </font>
    <font>
      <name val="Arial"/>
      <b val="1"/>
      <color rgb="00B23A1E"/>
      <sz val="11"/>
    </font>
    <font>
      <name val="Arial"/>
      <b val="1"/>
      <color rgb="001A241F"/>
      <sz val="10"/>
    </font>
    <font>
      <name val="Arial"/>
      <b val="1"/>
      <color rgb="000000FF"/>
      <sz val="11"/>
    </font>
    <font>
      <name val="Arial"/>
      <i val="1"/>
      <color rgb="006B7A72"/>
      <sz val="9"/>
    </font>
    <font>
      <name val="Arial"/>
      <color rgb="001A241F"/>
      <sz val="10"/>
    </font>
    <font>
      <name val="Arial"/>
      <b val="1"/>
      <color rgb="000E6E58"/>
      <sz val="12"/>
    </font>
    <font>
      <name val="Arial"/>
      <b val="1"/>
      <color rgb="00FFFFFF"/>
      <sz val="9"/>
    </font>
    <font>
      <name val="Arial"/>
      <color rgb="000E6E58"/>
      <sz val="10"/>
    </font>
    <font>
      <name val="Arial"/>
      <b val="1"/>
      <color rgb="000E6E58"/>
      <sz val="10"/>
    </font>
    <font>
      <name val="Arial"/>
      <b val="1"/>
      <color rgb="00FFFFFF"/>
      <sz val="10"/>
    </font>
    <font>
      <name val="Arial"/>
      <b val="1"/>
      <color rgb="001A241F"/>
      <sz val="16"/>
    </font>
    <font>
      <name val="Arial"/>
      <color rgb="000000FF"/>
      <sz val="10"/>
    </font>
    <font>
      <name val="Arial"/>
      <b val="1"/>
      <color rgb="000E6E58"/>
      <sz val="11"/>
    </font>
    <font>
      <name val="Arial"/>
      <color rgb="006B7A72"/>
      <sz val="10"/>
    </font>
    <font>
      <name val="Arial"/>
      <color rgb="000563C1"/>
      <sz val="9"/>
      <u val="single"/>
    </font>
    <font>
      <name val="Arial"/>
      <color rgb="001A241F"/>
      <sz val="9"/>
    </font>
  </fonts>
  <fills count="7">
    <fill>
      <patternFill/>
    </fill>
    <fill>
      <patternFill patternType="gray125"/>
    </fill>
    <fill>
      <patternFill patternType="solid">
        <fgColor rgb="00FFF7CC"/>
      </patternFill>
    </fill>
    <fill>
      <patternFill patternType="solid">
        <fgColor rgb="001F2D26"/>
      </patternFill>
    </fill>
    <fill>
      <patternFill patternType="solid">
        <fgColor rgb="00F4F7F3"/>
      </patternFill>
    </fill>
    <fill>
      <patternFill patternType="solid">
        <fgColor rgb="00E6EBE4"/>
      </patternFill>
    </fill>
    <fill>
      <patternFill patternType="solid">
        <fgColor rgb="00FFFDF2"/>
      </patternFill>
    </fill>
  </fills>
  <borders count="2">
    <border>
      <left/>
      <right/>
      <top/>
      <bottom/>
      <diagonal/>
    </border>
    <border>
      <left style="thin">
        <color rgb="00C9D2C8"/>
      </left>
      <right style="thin">
        <color rgb="00C9D2C8"/>
      </right>
      <top style="thin">
        <color rgb="00C9D2C8"/>
      </top>
      <bottom style="thin">
        <color rgb="00C9D2C8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2" borderId="1" applyAlignment="1" pivotButton="0" quotePrefix="0" xfId="0">
      <alignment horizontal="center"/>
    </xf>
    <xf numFmtId="0" fontId="6" fillId="0" borderId="0" pivotButton="0" quotePrefix="0" xfId="0"/>
    <xf numFmtId="2" fontId="5" fillId="2" borderId="1" applyAlignment="1" pivotButton="0" quotePrefix="0" xfId="0">
      <alignment horizontal="center"/>
    </xf>
    <xf numFmtId="0" fontId="7" fillId="0" borderId="0" pivotButton="0" quotePrefix="0" xfId="0"/>
    <xf numFmtId="165" fontId="8" fillId="0" borderId="1" applyAlignment="1" pivotButton="0" quotePrefix="0" xfId="0">
      <alignment horizontal="center"/>
    </xf>
    <xf numFmtId="9" fontId="8" fillId="0" borderId="1" applyAlignment="1" pivotButton="0" quotePrefix="0" xfId="0">
      <alignment horizontal="center"/>
    </xf>
    <xf numFmtId="49" fontId="8" fillId="0" borderId="1" applyAlignment="1" pivotButton="0" quotePrefix="0" xfId="0">
      <alignment horizontal="center"/>
    </xf>
    <xf numFmtId="166" fontId="8" fillId="0" borderId="1" applyAlignment="1" pivotButton="0" quotePrefix="0" xfId="0">
      <alignment horizontal="center"/>
    </xf>
    <xf numFmtId="0" fontId="9" fillId="3" borderId="1" applyAlignment="1" pivotButton="0" quotePrefix="0" xfId="0">
      <alignment horizontal="center" vertical="center"/>
    </xf>
    <xf numFmtId="0" fontId="4" fillId="4" borderId="1" pivotButton="0" quotePrefix="0" xfId="0"/>
    <xf numFmtId="0" fontId="7" fillId="4" borderId="1" applyAlignment="1" pivotButton="0" quotePrefix="0" xfId="0">
      <alignment horizontal="center"/>
    </xf>
    <xf numFmtId="9" fontId="7" fillId="4" borderId="1" applyAlignment="1" pivotButton="0" quotePrefix="0" xfId="0">
      <alignment horizontal="center"/>
    </xf>
    <xf numFmtId="0" fontId="10" fillId="4" borderId="1" pivotButton="0" quotePrefix="0" xfId="0"/>
    <xf numFmtId="167" fontId="7" fillId="4" borderId="1" applyAlignment="1" pivotButton="0" quotePrefix="0" xfId="0">
      <alignment horizontal="center"/>
    </xf>
    <xf numFmtId="0" fontId="4" fillId="0" borderId="1" pivotButton="0" quotePrefix="0" xfId="0"/>
    <xf numFmtId="0" fontId="7" fillId="0" borderId="1" applyAlignment="1" pivotButton="0" quotePrefix="0" xfId="0">
      <alignment horizontal="center"/>
    </xf>
    <xf numFmtId="9" fontId="7" fillId="0" borderId="1" applyAlignment="1" pivotButton="0" quotePrefix="0" xfId="0">
      <alignment horizontal="center"/>
    </xf>
    <xf numFmtId="0" fontId="10" fillId="0" borderId="1" pivotButton="0" quotePrefix="0" xfId="0"/>
    <xf numFmtId="167" fontId="7" fillId="0" borderId="1" applyAlignment="1" pivotButton="0" quotePrefix="0" xfId="0">
      <alignment horizontal="center"/>
    </xf>
    <xf numFmtId="0" fontId="4" fillId="5" borderId="1" pivotButton="0" quotePrefix="0" xfId="0"/>
    <xf numFmtId="0" fontId="4" fillId="5" borderId="1" applyAlignment="1" pivotButton="0" quotePrefix="0" xfId="0">
      <alignment horizontal="center"/>
    </xf>
    <xf numFmtId="9" fontId="4" fillId="5" borderId="1" applyAlignment="1" pivotButton="0" quotePrefix="0" xfId="0">
      <alignment horizontal="center"/>
    </xf>
    <xf numFmtId="0" fontId="11" fillId="5" borderId="1" applyAlignment="1" pivotButton="0" quotePrefix="0" xfId="0">
      <alignment horizontal="center"/>
    </xf>
    <xf numFmtId="167" fontId="4" fillId="5" borderId="1" applyAlignment="1" pivotButton="0" quotePrefix="0" xfId="0">
      <alignment horizontal="center"/>
    </xf>
    <xf numFmtId="0" fontId="9" fillId="3" borderId="1" applyAlignment="1" pivotButton="0" quotePrefix="0" xfId="0">
      <alignment horizontal="center"/>
    </xf>
    <xf numFmtId="168" fontId="7" fillId="0" borderId="1" applyAlignment="1" pivotButton="0" quotePrefix="0" xfId="0">
      <alignment horizontal="center"/>
    </xf>
    <xf numFmtId="0" fontId="2" fillId="0" borderId="1" pivotButton="0" quotePrefix="0" xfId="0"/>
    <xf numFmtId="168" fontId="7" fillId="4" borderId="1" applyAlignment="1" pivotButton="0" quotePrefix="0" xfId="0">
      <alignment horizontal="center"/>
    </xf>
    <xf numFmtId="0" fontId="2" fillId="4" borderId="1" pivotButton="0" quotePrefix="0" xfId="0"/>
    <xf numFmtId="0" fontId="2" fillId="0" borderId="0" applyAlignment="1" pivotButton="0" quotePrefix="0" xfId="0">
      <alignment/>
    </xf>
    <xf numFmtId="0" fontId="12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top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3" fontId="7" fillId="0" borderId="1" applyAlignment="1" pivotButton="0" quotePrefix="0" xfId="0">
      <alignment horizontal="center" vertical="top"/>
    </xf>
    <xf numFmtId="0" fontId="7" fillId="6" borderId="1" applyAlignment="1" pivotButton="0" quotePrefix="0" xfId="0">
      <alignment vertical="top"/>
    </xf>
    <xf numFmtId="0" fontId="7" fillId="6" borderId="1" applyAlignment="1" pivotButton="0" quotePrefix="0" xfId="0">
      <alignment horizontal="center" vertical="top"/>
    </xf>
    <xf numFmtId="0" fontId="7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13" fillId="0" borderId="0" pivotButton="0" quotePrefix="0" xfId="0"/>
    <xf numFmtId="169" fontId="7" fillId="0" borderId="1" applyAlignment="1" pivotButton="0" quotePrefix="0" xfId="0">
      <alignment horizontal="center"/>
    </xf>
    <xf numFmtId="169" fontId="14" fillId="2" borderId="1" applyAlignment="1" pivotButton="0" quotePrefix="0" xfId="0">
      <alignment horizontal="center"/>
    </xf>
    <xf numFmtId="170" fontId="7" fillId="0" borderId="1" applyAlignment="1" pivotButton="0" quotePrefix="0" xfId="0">
      <alignment horizontal="center"/>
    </xf>
    <xf numFmtId="167" fontId="15" fillId="5" borderId="1" applyAlignment="1" pivotButton="0" quotePrefix="0" xfId="0">
      <alignment horizontal="center"/>
    </xf>
    <xf numFmtId="169" fontId="15" fillId="5" borderId="1" applyAlignment="1" pivotButton="0" quotePrefix="0" xfId="0">
      <alignment horizontal="center"/>
    </xf>
    <xf numFmtId="0" fontId="13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7" fillId="0" borderId="0" applyAlignment="1" pivotButton="0" quotePrefix="0" xfId="0">
      <alignment vertical="top" wrapText="1"/>
    </xf>
    <xf numFmtId="0" fontId="18" fillId="6" borderId="1" applyAlignment="1" pivotButton="0" quotePrefix="0" xfId="0">
      <alignment horizontal="center"/>
    </xf>
  </cellXfs>
  <cellStyles count="1">
    <cellStyle name="Normal" xfId="0" builtinId="0" hidden="0"/>
  </cellStyles>
  <dxfs count="3">
    <dxf>
      <font>
        <i val="1"/>
        <color rgb="00B9C2BB"/>
      </font>
    </dxf>
    <dxf>
      <font>
        <strike val="1"/>
        <color rgb="009AA79F"/>
      </font>
      <fill>
        <patternFill>
          <bgColor rgb="00EEF3EC"/>
        </patternFill>
      </fill>
    </dxf>
    <dxf>
      <font>
        <b val="1"/>
        <color rgb="00B23A1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ntu.edu.sg/life-at-ntu/student-life/student-services/onestop/student's-pass/application-of-student's-pass" TargetMode="External" Id="rId1" /><Relationship Type="http://schemas.openxmlformats.org/officeDocument/2006/relationships/hyperlink" Target="https://www.ntu.edu.sg/admissions/graduate/gfreshmenguide/incoming-graduate-student-guide/healthscreening" TargetMode="External" Id="rId2" /><Relationship Type="http://schemas.openxmlformats.org/officeDocument/2006/relationships/hyperlink" Target="https://www.ica.gov.sg/reside/STP/collect" TargetMode="External" Id="rId3" /><Relationship Type="http://schemas.openxmlformats.org/officeDocument/2006/relationships/hyperlink" Target="https://www.ntu.edu.sg/admissions/matriculation" TargetMode="External" Id="rId4" /><Relationship Type="http://schemas.openxmlformats.org/officeDocument/2006/relationships/hyperlink" Target="https://www.xiaohongshu.com/explore/6a60a4b8000000001302f17d" TargetMode="External" Id="rId5" /><Relationship Type="http://schemas.openxmlformats.org/officeDocument/2006/relationships/hyperlink" Target="https://www.xiaohongshu.com/explore/6a5d6ff7000000001101a6c4" TargetMode="External" Id="rId6" /><Relationship Type="http://schemas.openxmlformats.org/officeDocument/2006/relationships/hyperlink" Target="https://www.xiaohongshu.com/explore/695b07d0000000001e0273bb" TargetMode="External" Id="rId7" /><Relationship Type="http://schemas.openxmlformats.org/officeDocument/2006/relationships/hyperlink" Target="https://www.xiaohongshu.com/explore/6a43bbd80000000015026c49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0" customWidth="1" min="7" max="7"/>
    <col width="14" customWidth="1" min="8" max="8"/>
    <col width="11" customWidth="1" min="9" max="9"/>
    <col width="11" customWidth="1" min="10" max="10"/>
  </cols>
  <sheetData>
    <row r="1">
      <c r="A1" s="1" t="inlineStr">
        <is>
          <t>赴新加坡 NTU 行前面板</t>
        </is>
      </c>
    </row>
    <row r="2">
      <c r="A2" s="2" t="inlineStr">
        <is>
          <t>离线版 · 手机上用 Excel / Numbers / WPS 都能打开。只改黄色格子和「清单」表，其他都是公式。</t>
        </is>
      </c>
    </row>
    <row r="4">
      <c r="A4" s="3" t="inlineStr">
        <is>
          <t>设置（黄色格子自己改）</t>
        </is>
      </c>
    </row>
    <row r="5">
      <c r="A5" s="4" t="inlineStr">
        <is>
          <t>出发日期</t>
        </is>
      </c>
      <c r="B5" s="5" t="n">
        <v>46327</v>
      </c>
      <c r="C5" s="6" t="inlineStr">
        <is>
          <t>我按「11 intake」推断的，改成你的真实出发日，下面所有日期会重算</t>
        </is>
      </c>
    </row>
    <row r="6">
      <c r="A6" s="4" t="inlineStr">
        <is>
          <t>汇率 1 SGD = ? CNY</t>
        </is>
      </c>
      <c r="B6" s="7" t="n">
        <v>5.4</v>
      </c>
      <c r="C6" s="6" t="inlineStr">
        <is>
          <t>默认 5.40，非实时，待核实</t>
        </is>
      </c>
    </row>
    <row r="8">
      <c r="A8" s="3" t="inlineStr">
        <is>
          <t>核心指标</t>
        </is>
      </c>
    </row>
    <row r="9">
      <c r="A9" s="8" t="inlineStr">
        <is>
          <t>距离出发</t>
        </is>
      </c>
      <c r="B9" s="9">
        <f>$B$5-TODAY()</f>
        <v/>
      </c>
      <c r="C9" s="6" t="inlineStr">
        <is>
          <t>负数表示已经出发了</t>
        </is>
      </c>
    </row>
    <row r="10">
      <c r="A10" s="8" t="inlineStr">
        <is>
          <t>总进度</t>
        </is>
      </c>
      <c r="B10" s="10">
        <f>IFERROR(COUNTIFS(清单!$D$2:$D$490,"已完成")/(COUNTA(清单!$C$2:$C$490)-COUNTIF(清单!$D$2:$D$490,"不需要")),0)</f>
        <v/>
      </c>
    </row>
    <row r="11">
      <c r="A11" s="8" t="inlineStr">
        <is>
          <t>已完成 / 需要做</t>
        </is>
      </c>
      <c r="B11" s="11">
        <f>COUNTIFS(清单!$D$2:$D$490,"已完成")&amp;" / "&amp;(COUNTA(清单!$C$2:$C$490)-COUNTIF(清单!$D$2:$D$490,"不需要"))</f>
        <v/>
      </c>
    </row>
    <row r="12">
      <c r="A12" s="8" t="inlineStr">
        <is>
          <t>关键项进度</t>
        </is>
      </c>
      <c r="B12" s="10">
        <f>IFERROR(COUNTIFS(清单!$E$2:$E$490,"是",清单!$D$2:$D$490,"已完成")/MAX(1,COUNTIFS(清单!$E$2:$E$490,"是",清单!$D$2:$D$490,"&lt;&gt;不需要")),0)</f>
        <v/>
      </c>
    </row>
    <row r="13">
      <c r="A13" s="8" t="inlineStr">
        <is>
          <t>关键项还差</t>
        </is>
      </c>
      <c r="B13" s="11">
        <f>COUNTIFS(清单!$E$2:$E$490,"是",清单!$D$2:$D$490,"未完成")&amp;" 条"</f>
        <v/>
      </c>
    </row>
    <row r="14">
      <c r="A14" s="8" t="inlineStr">
        <is>
          <t>预算合计（折人民币）</t>
        </is>
      </c>
      <c r="B14" s="12">
        <f>SUMIFS(清单!$G$2:$G$490,清单!$H$2:$H$490,"SGD",清单!$D$2:$D$490,"&lt;&gt;不需要")*$B$6+SUMIFS(清单!$G$2:$G$490,清单!$H$2:$H$490,"CNY",清单!$D$2:$D$490,"&lt;&gt;不需要")</f>
        <v/>
      </c>
      <c r="C14" s="6" t="inlineStr">
        <is>
          <t>只统计填了金额、且没标「不需要」的条目</t>
        </is>
      </c>
    </row>
    <row r="15">
      <c r="A15" s="8" t="inlineStr">
        <is>
          <t>国内带 · 已装箱</t>
        </is>
      </c>
      <c r="B15" s="11">
        <f>COUNTIFS(清单!$F$2:$F$490,"国内带",清单!$D$2:$D$490,"已完成")&amp;" / "&amp;COUNTIFS(清单!$F$2:$F$490,"国内带",清单!$D$2:$D$490,"&lt;&gt;不需要")</f>
        <v/>
      </c>
    </row>
    <row r="16">
      <c r="A16" s="8" t="inlineStr">
        <is>
          <t>落地买 · 已买到</t>
        </is>
      </c>
      <c r="B16" s="11">
        <f>COUNTIFS(清单!$F$2:$F$490,"落地买",清单!$D$2:$D$490,"已完成")&amp;" / "&amp;COUNTIFS(清单!$F$2:$F$490,"落地买",清单!$D$2:$D$490,"&lt;&gt;不需要")</f>
        <v/>
      </c>
      <c r="C16" s="6" t="inlineStr">
        <is>
          <t>带法为空的是「要办的事」，不是物品</t>
        </is>
      </c>
    </row>
    <row r="18">
      <c r="A18" s="3" t="inlineStr">
        <is>
          <t>分类进度</t>
        </is>
      </c>
    </row>
    <row r="19">
      <c r="A19" s="13" t="inlineStr">
        <is>
          <t>分类</t>
        </is>
      </c>
      <c r="B19" s="13" t="inlineStr">
        <is>
          <t>总数</t>
        </is>
      </c>
      <c r="C19" s="13" t="inlineStr">
        <is>
          <t>已完成</t>
        </is>
      </c>
      <c r="D19" s="13" t="inlineStr">
        <is>
          <t>不需要</t>
        </is>
      </c>
      <c r="E19" s="13" t="inlineStr">
        <is>
          <t>待办</t>
        </is>
      </c>
      <c r="F19" s="13" t="inlineStr">
        <is>
          <t>关键项待办</t>
        </is>
      </c>
      <c r="G19" s="13" t="inlineStr">
        <is>
          <t>完成率</t>
        </is>
      </c>
      <c r="H19" s="13" t="inlineStr">
        <is>
          <t>进度条</t>
        </is>
      </c>
      <c r="I19" s="13" t="inlineStr">
        <is>
          <t>预算 SGD</t>
        </is>
      </c>
      <c r="J19" s="13" t="inlineStr">
        <is>
          <t>预算 CNY</t>
        </is>
      </c>
    </row>
    <row r="20">
      <c r="A20" s="14" t="inlineStr">
        <is>
          <t>证件与材料</t>
        </is>
      </c>
      <c r="B20" s="15">
        <f>COUNTIF(清单!$A$2:$A$490,$A20)</f>
        <v/>
      </c>
      <c r="C20" s="15">
        <f>COUNTIFS(清单!$A$2:$A$490,$A20,清单!$D$2:$D$490,"已完成")</f>
        <v/>
      </c>
      <c r="D20" s="15">
        <f>COUNTIFS(清单!$A$2:$A$490,$A20,清单!$D$2:$D$490,"不需要")</f>
        <v/>
      </c>
      <c r="E20" s="15">
        <f>COUNTIFS(清单!$A$2:$A$490,$A20,清单!$D$2:$D$490,"未完成")</f>
        <v/>
      </c>
      <c r="F20" s="15">
        <f>COUNTIFS(清单!$A$2:$A$490,$A20,清单!$E$2:$E$490,"是",清单!$D$2:$D$490,"未完成")</f>
        <v/>
      </c>
      <c r="G20" s="16">
        <f>IFERROR($C20/MAX(1,$B20-$D20),0)</f>
        <v/>
      </c>
      <c r="H20" s="17">
        <f>REPT("■",ROUND($G20*10,0))&amp;REPT("·",10-ROUND($G20*10,0))</f>
        <v/>
      </c>
      <c r="I20" s="18">
        <f>SUMIFS(清单!$G$2:$G$490,清单!$A$2:$A$490,$A20,清单!$H$2:$H$490,"SGD",清单!$D$2:$D$490,"&lt;&gt;不需要")</f>
        <v/>
      </c>
      <c r="J20" s="18">
        <f>SUMIFS(清单!$G$2:$G$490,清单!$A$2:$A$490,$A20,清单!$H$2:$H$490,"CNY",清单!$D$2:$D$490,"&lt;&gt;不需要")</f>
        <v/>
      </c>
    </row>
    <row r="21">
      <c r="A21" s="19" t="inlineStr">
        <is>
          <t>钱与银行</t>
        </is>
      </c>
      <c r="B21" s="20">
        <f>COUNTIF(清单!$A$2:$A$490,$A21)</f>
        <v/>
      </c>
      <c r="C21" s="20">
        <f>COUNTIFS(清单!$A$2:$A$490,$A21,清单!$D$2:$D$490,"已完成")</f>
        <v/>
      </c>
      <c r="D21" s="20">
        <f>COUNTIFS(清单!$A$2:$A$490,$A21,清单!$D$2:$D$490,"不需要")</f>
        <v/>
      </c>
      <c r="E21" s="20">
        <f>COUNTIFS(清单!$A$2:$A$490,$A21,清单!$D$2:$D$490,"未完成")</f>
        <v/>
      </c>
      <c r="F21" s="20">
        <f>COUNTIFS(清单!$A$2:$A$490,$A21,清单!$E$2:$E$490,"是",清单!$D$2:$D$490,"未完成")</f>
        <v/>
      </c>
      <c r="G21" s="21">
        <f>IFERROR($C21/MAX(1,$B21-$D21),0)</f>
        <v/>
      </c>
      <c r="H21" s="22">
        <f>REPT("■",ROUND($G21*10,0))&amp;REPT("·",10-ROUND($G21*10,0))</f>
        <v/>
      </c>
      <c r="I21" s="23">
        <f>SUMIFS(清单!$G$2:$G$490,清单!$A$2:$A$490,$A21,清单!$H$2:$H$490,"SGD",清单!$D$2:$D$490,"&lt;&gt;不需要")</f>
        <v/>
      </c>
      <c r="J21" s="23">
        <f>SUMIFS(清单!$G$2:$G$490,清单!$A$2:$A$490,$A21,清单!$H$2:$H$490,"CNY",清单!$D$2:$D$490,"&lt;&gt;不需要")</f>
        <v/>
      </c>
    </row>
    <row r="22">
      <c r="A22" s="14" t="inlineStr">
        <is>
          <t>住 · 租房</t>
        </is>
      </c>
      <c r="B22" s="15">
        <f>COUNTIF(清单!$A$2:$A$490,$A22)</f>
        <v/>
      </c>
      <c r="C22" s="15">
        <f>COUNTIFS(清单!$A$2:$A$490,$A22,清单!$D$2:$D$490,"已完成")</f>
        <v/>
      </c>
      <c r="D22" s="15">
        <f>COUNTIFS(清单!$A$2:$A$490,$A22,清单!$D$2:$D$490,"不需要")</f>
        <v/>
      </c>
      <c r="E22" s="15">
        <f>COUNTIFS(清单!$A$2:$A$490,$A22,清单!$D$2:$D$490,"未完成")</f>
        <v/>
      </c>
      <c r="F22" s="15">
        <f>COUNTIFS(清单!$A$2:$A$490,$A22,清单!$E$2:$E$490,"是",清单!$D$2:$D$490,"未完成")</f>
        <v/>
      </c>
      <c r="G22" s="16">
        <f>IFERROR($C22/MAX(1,$B22-$D22),0)</f>
        <v/>
      </c>
      <c r="H22" s="17">
        <f>REPT("■",ROUND($G22*10,0))&amp;REPT("·",10-ROUND($G22*10,0))</f>
        <v/>
      </c>
      <c r="I22" s="18">
        <f>SUMIFS(清单!$G$2:$G$490,清单!$A$2:$A$490,$A22,清单!$H$2:$H$490,"SGD",清单!$D$2:$D$490,"&lt;&gt;不需要")</f>
        <v/>
      </c>
      <c r="J22" s="18">
        <f>SUMIFS(清单!$G$2:$G$490,清单!$A$2:$A$490,$A22,清单!$H$2:$H$490,"CNY",清单!$D$2:$D$490,"&lt;&gt;不需要")</f>
        <v/>
      </c>
    </row>
    <row r="23">
      <c r="A23" s="19" t="inlineStr">
        <is>
          <t>住 · 床品家居</t>
        </is>
      </c>
      <c r="B23" s="20">
        <f>COUNTIF(清单!$A$2:$A$490,$A23)</f>
        <v/>
      </c>
      <c r="C23" s="20">
        <f>COUNTIFS(清单!$A$2:$A$490,$A23,清单!$D$2:$D$490,"已完成")</f>
        <v/>
      </c>
      <c r="D23" s="20">
        <f>COUNTIFS(清单!$A$2:$A$490,$A23,清单!$D$2:$D$490,"不需要")</f>
        <v/>
      </c>
      <c r="E23" s="20">
        <f>COUNTIFS(清单!$A$2:$A$490,$A23,清单!$D$2:$D$490,"未完成")</f>
        <v/>
      </c>
      <c r="F23" s="20">
        <f>COUNTIFS(清单!$A$2:$A$490,$A23,清单!$E$2:$E$490,"是",清单!$D$2:$D$490,"未完成")</f>
        <v/>
      </c>
      <c r="G23" s="21">
        <f>IFERROR($C23/MAX(1,$B23-$D23),0)</f>
        <v/>
      </c>
      <c r="H23" s="22">
        <f>REPT("■",ROUND($G23*10,0))&amp;REPT("·",10-ROUND($G23*10,0))</f>
        <v/>
      </c>
      <c r="I23" s="23">
        <f>SUMIFS(清单!$G$2:$G$490,清单!$A$2:$A$490,$A23,清单!$H$2:$H$490,"SGD",清单!$D$2:$D$490,"&lt;&gt;不需要")</f>
        <v/>
      </c>
      <c r="J23" s="23">
        <f>SUMIFS(清单!$G$2:$G$490,清单!$A$2:$A$490,$A23,清单!$H$2:$H$490,"CNY",清单!$D$2:$D$490,"&lt;&gt;不需要")</f>
        <v/>
      </c>
    </row>
    <row r="24">
      <c r="A24" s="14" t="inlineStr">
        <is>
          <t>住 · 清洁耗材</t>
        </is>
      </c>
      <c r="B24" s="15">
        <f>COUNTIF(清单!$A$2:$A$490,$A24)</f>
        <v/>
      </c>
      <c r="C24" s="15">
        <f>COUNTIFS(清单!$A$2:$A$490,$A24,清单!$D$2:$D$490,"已完成")</f>
        <v/>
      </c>
      <c r="D24" s="15">
        <f>COUNTIFS(清单!$A$2:$A$490,$A24,清单!$D$2:$D$490,"不需要")</f>
        <v/>
      </c>
      <c r="E24" s="15">
        <f>COUNTIFS(清单!$A$2:$A$490,$A24,清单!$D$2:$D$490,"未完成")</f>
        <v/>
      </c>
      <c r="F24" s="15">
        <f>COUNTIFS(清单!$A$2:$A$490,$A24,清单!$E$2:$E$490,"是",清单!$D$2:$D$490,"未完成")</f>
        <v/>
      </c>
      <c r="G24" s="16">
        <f>IFERROR($C24/MAX(1,$B24-$D24),0)</f>
        <v/>
      </c>
      <c r="H24" s="17">
        <f>REPT("■",ROUND($G24*10,0))&amp;REPT("·",10-ROUND($G24*10,0))</f>
        <v/>
      </c>
      <c r="I24" s="18">
        <f>SUMIFS(清单!$G$2:$G$490,清单!$A$2:$A$490,$A24,清单!$H$2:$H$490,"SGD",清单!$D$2:$D$490,"&lt;&gt;不需要")</f>
        <v/>
      </c>
      <c r="J24" s="18">
        <f>SUMIFS(清单!$G$2:$G$490,清单!$A$2:$A$490,$A24,清单!$H$2:$H$490,"CNY",清单!$D$2:$D$490,"&lt;&gt;不需要")</f>
        <v/>
      </c>
    </row>
    <row r="25">
      <c r="A25" s="19" t="inlineStr">
        <is>
          <t>电子与充电</t>
        </is>
      </c>
      <c r="B25" s="20">
        <f>COUNTIF(清单!$A$2:$A$490,$A25)</f>
        <v/>
      </c>
      <c r="C25" s="20">
        <f>COUNTIFS(清单!$A$2:$A$490,$A25,清单!$D$2:$D$490,"已完成")</f>
        <v/>
      </c>
      <c r="D25" s="20">
        <f>COUNTIFS(清单!$A$2:$A$490,$A25,清单!$D$2:$D$490,"不需要")</f>
        <v/>
      </c>
      <c r="E25" s="20">
        <f>COUNTIFS(清单!$A$2:$A$490,$A25,清单!$D$2:$D$490,"未完成")</f>
        <v/>
      </c>
      <c r="F25" s="20">
        <f>COUNTIFS(清单!$A$2:$A$490,$A25,清单!$E$2:$E$490,"是",清单!$D$2:$D$490,"未完成")</f>
        <v/>
      </c>
      <c r="G25" s="21">
        <f>IFERROR($C25/MAX(1,$B25-$D25),0)</f>
        <v/>
      </c>
      <c r="H25" s="22">
        <f>REPT("■",ROUND($G25*10,0))&amp;REPT("·",10-ROUND($G25*10,0))</f>
        <v/>
      </c>
      <c r="I25" s="23">
        <f>SUMIFS(清单!$G$2:$G$490,清单!$A$2:$A$490,$A25,清单!$H$2:$H$490,"SGD",清单!$D$2:$D$490,"&lt;&gt;不需要")</f>
        <v/>
      </c>
      <c r="J25" s="23">
        <f>SUMIFS(清单!$G$2:$G$490,清单!$A$2:$A$490,$A25,清单!$H$2:$H$490,"CNY",清单!$D$2:$D$490,"&lt;&gt;不需要")</f>
        <v/>
      </c>
    </row>
    <row r="26">
      <c r="A26" s="14" t="inlineStr">
        <is>
          <t>洗漱护肤</t>
        </is>
      </c>
      <c r="B26" s="15">
        <f>COUNTIF(清单!$A$2:$A$490,$A26)</f>
        <v/>
      </c>
      <c r="C26" s="15">
        <f>COUNTIFS(清单!$A$2:$A$490,$A26,清单!$D$2:$D$490,"已完成")</f>
        <v/>
      </c>
      <c r="D26" s="15">
        <f>COUNTIFS(清单!$A$2:$A$490,$A26,清单!$D$2:$D$490,"不需要")</f>
        <v/>
      </c>
      <c r="E26" s="15">
        <f>COUNTIFS(清单!$A$2:$A$490,$A26,清单!$D$2:$D$490,"未完成")</f>
        <v/>
      </c>
      <c r="F26" s="15">
        <f>COUNTIFS(清单!$A$2:$A$490,$A26,清单!$E$2:$E$490,"是",清单!$D$2:$D$490,"未完成")</f>
        <v/>
      </c>
      <c r="G26" s="16">
        <f>IFERROR($C26/MAX(1,$B26-$D26),0)</f>
        <v/>
      </c>
      <c r="H26" s="17">
        <f>REPT("■",ROUND($G26*10,0))&amp;REPT("·",10-ROUND($G26*10,0))</f>
        <v/>
      </c>
      <c r="I26" s="18">
        <f>SUMIFS(清单!$G$2:$G$490,清单!$A$2:$A$490,$A26,清单!$H$2:$H$490,"SGD",清单!$D$2:$D$490,"&lt;&gt;不需要")</f>
        <v/>
      </c>
      <c r="J26" s="18">
        <f>SUMIFS(清单!$G$2:$G$490,清单!$A$2:$A$490,$A26,清单!$H$2:$H$490,"CNY",清单!$D$2:$D$490,"&lt;&gt;不需要")</f>
        <v/>
      </c>
    </row>
    <row r="27">
      <c r="A27" s="19" t="inlineStr">
        <is>
          <t>穿 · 衣物鞋包</t>
        </is>
      </c>
      <c r="B27" s="20">
        <f>COUNTIF(清单!$A$2:$A$490,$A27)</f>
        <v/>
      </c>
      <c r="C27" s="20">
        <f>COUNTIFS(清单!$A$2:$A$490,$A27,清单!$D$2:$D$490,"已完成")</f>
        <v/>
      </c>
      <c r="D27" s="20">
        <f>COUNTIFS(清单!$A$2:$A$490,$A27,清单!$D$2:$D$490,"不需要")</f>
        <v/>
      </c>
      <c r="E27" s="20">
        <f>COUNTIFS(清单!$A$2:$A$490,$A27,清单!$D$2:$D$490,"未完成")</f>
        <v/>
      </c>
      <c r="F27" s="20">
        <f>COUNTIFS(清单!$A$2:$A$490,$A27,清单!$E$2:$E$490,"是",清单!$D$2:$D$490,"未完成")</f>
        <v/>
      </c>
      <c r="G27" s="21">
        <f>IFERROR($C27/MAX(1,$B27-$D27),0)</f>
        <v/>
      </c>
      <c r="H27" s="22">
        <f>REPT("■",ROUND($G27*10,0))&amp;REPT("·",10-ROUND($G27*10,0))</f>
        <v/>
      </c>
      <c r="I27" s="23">
        <f>SUMIFS(清单!$G$2:$G$490,清单!$A$2:$A$490,$A27,清单!$H$2:$H$490,"SGD",清单!$D$2:$D$490,"&lt;&gt;不需要")</f>
        <v/>
      </c>
      <c r="J27" s="23">
        <f>SUMIFS(清单!$G$2:$G$490,清单!$A$2:$A$490,$A27,清单!$H$2:$H$490,"CNY",清单!$D$2:$D$490,"&lt;&gt;不需要")</f>
        <v/>
      </c>
    </row>
    <row r="28">
      <c r="A28" s="14" t="inlineStr">
        <is>
          <t>药品医疗</t>
        </is>
      </c>
      <c r="B28" s="15">
        <f>COUNTIF(清单!$A$2:$A$490,$A28)</f>
        <v/>
      </c>
      <c r="C28" s="15">
        <f>COUNTIFS(清单!$A$2:$A$490,$A28,清单!$D$2:$D$490,"已完成")</f>
        <v/>
      </c>
      <c r="D28" s="15">
        <f>COUNTIFS(清单!$A$2:$A$490,$A28,清单!$D$2:$D$490,"不需要")</f>
        <v/>
      </c>
      <c r="E28" s="15">
        <f>COUNTIFS(清单!$A$2:$A$490,$A28,清单!$D$2:$D$490,"未完成")</f>
        <v/>
      </c>
      <c r="F28" s="15">
        <f>COUNTIFS(清单!$A$2:$A$490,$A28,清单!$E$2:$E$490,"是",清单!$D$2:$D$490,"未完成")</f>
        <v/>
      </c>
      <c r="G28" s="16">
        <f>IFERROR($C28/MAX(1,$B28-$D28),0)</f>
        <v/>
      </c>
      <c r="H28" s="17">
        <f>REPT("■",ROUND($G28*10,0))&amp;REPT("·",10-ROUND($G28*10,0))</f>
        <v/>
      </c>
      <c r="I28" s="18">
        <f>SUMIFS(清单!$G$2:$G$490,清单!$A$2:$A$490,$A28,清单!$H$2:$H$490,"SGD",清单!$D$2:$D$490,"&lt;&gt;不需要")</f>
        <v/>
      </c>
      <c r="J28" s="18">
        <f>SUMIFS(清单!$G$2:$G$490,清单!$A$2:$A$490,$A28,清单!$H$2:$H$490,"CNY",清单!$D$2:$D$490,"&lt;&gt;不需要")</f>
        <v/>
      </c>
    </row>
    <row r="29">
      <c r="A29" s="19" t="inlineStr">
        <is>
          <t>食 · 厨房调料</t>
        </is>
      </c>
      <c r="B29" s="20">
        <f>COUNTIF(清单!$A$2:$A$490,$A29)</f>
        <v/>
      </c>
      <c r="C29" s="20">
        <f>COUNTIFS(清单!$A$2:$A$490,$A29,清单!$D$2:$D$490,"已完成")</f>
        <v/>
      </c>
      <c r="D29" s="20">
        <f>COUNTIFS(清单!$A$2:$A$490,$A29,清单!$D$2:$D$490,"不需要")</f>
        <v/>
      </c>
      <c r="E29" s="20">
        <f>COUNTIFS(清单!$A$2:$A$490,$A29,清单!$D$2:$D$490,"未完成")</f>
        <v/>
      </c>
      <c r="F29" s="20">
        <f>COUNTIFS(清单!$A$2:$A$490,$A29,清单!$E$2:$E$490,"是",清单!$D$2:$D$490,"未完成")</f>
        <v/>
      </c>
      <c r="G29" s="21">
        <f>IFERROR($C29/MAX(1,$B29-$D29),0)</f>
        <v/>
      </c>
      <c r="H29" s="22">
        <f>REPT("■",ROUND($G29*10,0))&amp;REPT("·",10-ROUND($G29*10,0))</f>
        <v/>
      </c>
      <c r="I29" s="23">
        <f>SUMIFS(清单!$G$2:$G$490,清单!$A$2:$A$490,$A29,清单!$H$2:$H$490,"SGD",清单!$D$2:$D$490,"&lt;&gt;不需要")</f>
        <v/>
      </c>
      <c r="J29" s="23">
        <f>SUMIFS(清单!$G$2:$G$490,清单!$A$2:$A$490,$A29,清单!$H$2:$H$490,"CNY",清单!$D$2:$D$490,"&lt;&gt;不需要")</f>
        <v/>
      </c>
    </row>
    <row r="30">
      <c r="A30" s="14" t="inlineStr">
        <is>
          <t>文具与学习</t>
        </is>
      </c>
      <c r="B30" s="15">
        <f>COUNTIF(清单!$A$2:$A$490,$A30)</f>
        <v/>
      </c>
      <c r="C30" s="15">
        <f>COUNTIFS(清单!$A$2:$A$490,$A30,清单!$D$2:$D$490,"已完成")</f>
        <v/>
      </c>
      <c r="D30" s="15">
        <f>COUNTIFS(清单!$A$2:$A$490,$A30,清单!$D$2:$D$490,"不需要")</f>
        <v/>
      </c>
      <c r="E30" s="15">
        <f>COUNTIFS(清单!$A$2:$A$490,$A30,清单!$D$2:$D$490,"未完成")</f>
        <v/>
      </c>
      <c r="F30" s="15">
        <f>COUNTIFS(清单!$A$2:$A$490,$A30,清单!$E$2:$E$490,"是",清单!$D$2:$D$490,"未完成")</f>
        <v/>
      </c>
      <c r="G30" s="16">
        <f>IFERROR($C30/MAX(1,$B30-$D30),0)</f>
        <v/>
      </c>
      <c r="H30" s="17">
        <f>REPT("■",ROUND($G30*10,0))&amp;REPT("·",10-ROUND($G30*10,0))</f>
        <v/>
      </c>
      <c r="I30" s="18">
        <f>SUMIFS(清单!$G$2:$G$490,清单!$A$2:$A$490,$A30,清单!$H$2:$H$490,"SGD",清单!$D$2:$D$490,"&lt;&gt;不需要")</f>
        <v/>
      </c>
      <c r="J30" s="18">
        <f>SUMIFS(清单!$G$2:$G$490,清单!$A$2:$A$490,$A30,清单!$H$2:$H$490,"CNY",清单!$D$2:$D$490,"&lt;&gt;不需要")</f>
        <v/>
      </c>
    </row>
    <row r="31">
      <c r="A31" s="19" t="inlineStr">
        <is>
          <t>行 · 机票行李</t>
        </is>
      </c>
      <c r="B31" s="20">
        <f>COUNTIF(清单!$A$2:$A$490,$A31)</f>
        <v/>
      </c>
      <c r="C31" s="20">
        <f>COUNTIFS(清单!$A$2:$A$490,$A31,清单!$D$2:$D$490,"已完成")</f>
        <v/>
      </c>
      <c r="D31" s="20">
        <f>COUNTIFS(清单!$A$2:$A$490,$A31,清单!$D$2:$D$490,"不需要")</f>
        <v/>
      </c>
      <c r="E31" s="20">
        <f>COUNTIFS(清单!$A$2:$A$490,$A31,清单!$D$2:$D$490,"未完成")</f>
        <v/>
      </c>
      <c r="F31" s="20">
        <f>COUNTIFS(清单!$A$2:$A$490,$A31,清单!$E$2:$E$490,"是",清单!$D$2:$D$490,"未完成")</f>
        <v/>
      </c>
      <c r="G31" s="21">
        <f>IFERROR($C31/MAX(1,$B31-$D31),0)</f>
        <v/>
      </c>
      <c r="H31" s="22">
        <f>REPT("■",ROUND($G31*10,0))&amp;REPT("·",10-ROUND($G31*10,0))</f>
        <v/>
      </c>
      <c r="I31" s="23">
        <f>SUMIFS(清单!$G$2:$G$490,清单!$A$2:$A$490,$A31,清单!$H$2:$H$490,"SGD",清单!$D$2:$D$490,"&lt;&gt;不需要")</f>
        <v/>
      </c>
      <c r="J31" s="23">
        <f>SUMIFS(清单!$G$2:$G$490,清单!$A$2:$A$490,$A31,清单!$H$2:$H$490,"CNY",清单!$D$2:$D$490,"&lt;&gt;不需要")</f>
        <v/>
      </c>
    </row>
    <row r="32">
      <c r="A32" s="14" t="inlineStr">
        <is>
          <t>通讯与账号</t>
        </is>
      </c>
      <c r="B32" s="15">
        <f>COUNTIF(清单!$A$2:$A$490,$A32)</f>
        <v/>
      </c>
      <c r="C32" s="15">
        <f>COUNTIFS(清单!$A$2:$A$490,$A32,清单!$D$2:$D$490,"已完成")</f>
        <v/>
      </c>
      <c r="D32" s="15">
        <f>COUNTIFS(清单!$A$2:$A$490,$A32,清单!$D$2:$D$490,"不需要")</f>
        <v/>
      </c>
      <c r="E32" s="15">
        <f>COUNTIFS(清单!$A$2:$A$490,$A32,清单!$D$2:$D$490,"未完成")</f>
        <v/>
      </c>
      <c r="F32" s="15">
        <f>COUNTIFS(清单!$A$2:$A$490,$A32,清单!$E$2:$E$490,"是",清单!$D$2:$D$490,"未完成")</f>
        <v/>
      </c>
      <c r="G32" s="16">
        <f>IFERROR($C32/MAX(1,$B32-$D32),0)</f>
        <v/>
      </c>
      <c r="H32" s="17">
        <f>REPT("■",ROUND($G32*10,0))&amp;REPT("·",10-ROUND($G32*10,0))</f>
        <v/>
      </c>
      <c r="I32" s="18">
        <f>SUMIFS(清单!$G$2:$G$490,清单!$A$2:$A$490,$A32,清单!$H$2:$H$490,"SGD",清单!$D$2:$D$490,"&lt;&gt;不需要")</f>
        <v/>
      </c>
      <c r="J32" s="18">
        <f>SUMIFS(清单!$G$2:$G$490,清单!$A$2:$A$490,$A32,清单!$H$2:$H$490,"CNY",清单!$D$2:$D$490,"&lt;&gt;不需要")</f>
        <v/>
      </c>
    </row>
    <row r="33">
      <c r="A33" s="19" t="inlineStr">
        <is>
          <t>落地采购</t>
        </is>
      </c>
      <c r="B33" s="20">
        <f>COUNTIF(清单!$A$2:$A$490,$A33)</f>
        <v/>
      </c>
      <c r="C33" s="20">
        <f>COUNTIFS(清单!$A$2:$A$490,$A33,清单!$D$2:$D$490,"已完成")</f>
        <v/>
      </c>
      <c r="D33" s="20">
        <f>COUNTIFS(清单!$A$2:$A$490,$A33,清单!$D$2:$D$490,"不需要")</f>
        <v/>
      </c>
      <c r="E33" s="20">
        <f>COUNTIFS(清单!$A$2:$A$490,$A33,清单!$D$2:$D$490,"未完成")</f>
        <v/>
      </c>
      <c r="F33" s="20">
        <f>COUNTIFS(清单!$A$2:$A$490,$A33,清单!$E$2:$E$490,"是",清单!$D$2:$D$490,"未完成")</f>
        <v/>
      </c>
      <c r="G33" s="21">
        <f>IFERROR($C33/MAX(1,$B33-$D33),0)</f>
        <v/>
      </c>
      <c r="H33" s="22">
        <f>REPT("■",ROUND($G33*10,0))&amp;REPT("·",10-ROUND($G33*10,0))</f>
        <v/>
      </c>
      <c r="I33" s="23">
        <f>SUMIFS(清单!$G$2:$G$490,清单!$A$2:$A$490,$A33,清单!$H$2:$H$490,"SGD",清单!$D$2:$D$490,"&lt;&gt;不需要")</f>
        <v/>
      </c>
      <c r="J33" s="23">
        <f>SUMIFS(清单!$G$2:$G$490,清单!$A$2:$A$490,$A33,清单!$H$2:$H$490,"CNY",清单!$D$2:$D$490,"&lt;&gt;不需要")</f>
        <v/>
      </c>
    </row>
    <row r="34">
      <c r="A34" s="14" t="inlineStr">
        <is>
          <t>国内收尾</t>
        </is>
      </c>
      <c r="B34" s="15">
        <f>COUNTIF(清单!$A$2:$A$490,$A34)</f>
        <v/>
      </c>
      <c r="C34" s="15">
        <f>COUNTIFS(清单!$A$2:$A$490,$A34,清单!$D$2:$D$490,"已完成")</f>
        <v/>
      </c>
      <c r="D34" s="15">
        <f>COUNTIFS(清单!$A$2:$A$490,$A34,清单!$D$2:$D$490,"不需要")</f>
        <v/>
      </c>
      <c r="E34" s="15">
        <f>COUNTIFS(清单!$A$2:$A$490,$A34,清单!$D$2:$D$490,"未完成")</f>
        <v/>
      </c>
      <c r="F34" s="15">
        <f>COUNTIFS(清单!$A$2:$A$490,$A34,清单!$E$2:$E$490,"是",清单!$D$2:$D$490,"未完成")</f>
        <v/>
      </c>
      <c r="G34" s="16">
        <f>IFERROR($C34/MAX(1,$B34-$D34),0)</f>
        <v/>
      </c>
      <c r="H34" s="17">
        <f>REPT("■",ROUND($G34*10,0))&amp;REPT("·",10-ROUND($G34*10,0))</f>
        <v/>
      </c>
      <c r="I34" s="18">
        <f>SUMIFS(清单!$G$2:$G$490,清单!$A$2:$A$490,$A34,清单!$H$2:$H$490,"SGD",清单!$D$2:$D$490,"&lt;&gt;不需要")</f>
        <v/>
      </c>
      <c r="J34" s="18">
        <f>SUMIFS(清单!$G$2:$G$490,清单!$A$2:$A$490,$A34,清单!$H$2:$H$490,"CNY",清单!$D$2:$D$490,"&lt;&gt;不需要")</f>
        <v/>
      </c>
    </row>
    <row r="35">
      <c r="A35" s="19" t="inlineStr">
        <is>
          <t>红线 · 别带</t>
        </is>
      </c>
      <c r="B35" s="20">
        <f>COUNTIF(清单!$A$2:$A$490,$A35)</f>
        <v/>
      </c>
      <c r="C35" s="20">
        <f>COUNTIFS(清单!$A$2:$A$490,$A35,清单!$D$2:$D$490,"已完成")</f>
        <v/>
      </c>
      <c r="D35" s="20">
        <f>COUNTIFS(清单!$A$2:$A$490,$A35,清单!$D$2:$D$490,"不需要")</f>
        <v/>
      </c>
      <c r="E35" s="20">
        <f>COUNTIFS(清单!$A$2:$A$490,$A35,清单!$D$2:$D$490,"未完成")</f>
        <v/>
      </c>
      <c r="F35" s="20">
        <f>COUNTIFS(清单!$A$2:$A$490,$A35,清单!$E$2:$E$490,"是",清单!$D$2:$D$490,"未完成")</f>
        <v/>
      </c>
      <c r="G35" s="21">
        <f>IFERROR($C35/MAX(1,$B35-$D35),0)</f>
        <v/>
      </c>
      <c r="H35" s="22">
        <f>REPT("■",ROUND($G35*10,0))&amp;REPT("·",10-ROUND($G35*10,0))</f>
        <v/>
      </c>
      <c r="I35" s="23">
        <f>SUMIFS(清单!$G$2:$G$490,清单!$A$2:$A$490,$A35,清单!$H$2:$H$490,"SGD",清单!$D$2:$D$490,"&lt;&gt;不需要")</f>
        <v/>
      </c>
      <c r="J35" s="23">
        <f>SUMIFS(清单!$G$2:$G$490,清单!$A$2:$A$490,$A35,清单!$H$2:$H$490,"CNY",清单!$D$2:$D$490,"&lt;&gt;不需要")</f>
        <v/>
      </c>
    </row>
    <row r="36">
      <c r="A36" s="14" t="inlineStr">
        <is>
          <t>不建议带</t>
        </is>
      </c>
      <c r="B36" s="15">
        <f>COUNTIF(清单!$A$2:$A$490,$A36)</f>
        <v/>
      </c>
      <c r="C36" s="15">
        <f>COUNTIFS(清单!$A$2:$A$490,$A36,清单!$D$2:$D$490,"已完成")</f>
        <v/>
      </c>
      <c r="D36" s="15">
        <f>COUNTIFS(清单!$A$2:$A$490,$A36,清单!$D$2:$D$490,"不需要")</f>
        <v/>
      </c>
      <c r="E36" s="15">
        <f>COUNTIFS(清单!$A$2:$A$490,$A36,清单!$D$2:$D$490,"未完成")</f>
        <v/>
      </c>
      <c r="F36" s="15">
        <f>COUNTIFS(清单!$A$2:$A$490,$A36,清单!$E$2:$E$490,"是",清单!$D$2:$D$490,"未完成")</f>
        <v/>
      </c>
      <c r="G36" s="16">
        <f>IFERROR($C36/MAX(1,$B36-$D36),0)</f>
        <v/>
      </c>
      <c r="H36" s="17">
        <f>REPT("■",ROUND($G36*10,0))&amp;REPT("·",10-ROUND($G36*10,0))</f>
        <v/>
      </c>
      <c r="I36" s="18">
        <f>SUMIFS(清单!$G$2:$G$490,清单!$A$2:$A$490,$A36,清单!$H$2:$H$490,"SGD",清单!$D$2:$D$490,"&lt;&gt;不需要")</f>
        <v/>
      </c>
      <c r="J36" s="18">
        <f>SUMIFS(清单!$G$2:$G$490,清单!$A$2:$A$490,$A36,清单!$H$2:$H$490,"CNY",清单!$D$2:$D$490,"&lt;&gt;不需要")</f>
        <v/>
      </c>
    </row>
    <row r="37">
      <c r="A37" s="24" t="inlineStr">
        <is>
          <t>合计</t>
        </is>
      </c>
      <c r="B37" s="25">
        <f>SUM(B20:B36)</f>
        <v/>
      </c>
      <c r="C37" s="25">
        <f>SUM(C20:C36)</f>
        <v/>
      </c>
      <c r="D37" s="25">
        <f>SUM(D20:D36)</f>
        <v/>
      </c>
      <c r="E37" s="25">
        <f>SUM(E20:E36)</f>
        <v/>
      </c>
      <c r="F37" s="25">
        <f>SUM(F20:F36)</f>
        <v/>
      </c>
      <c r="G37" s="26">
        <f>IFERROR($C37/MAX(1,$B37-$D37),0)</f>
        <v/>
      </c>
      <c r="H37" s="27">
        <f>REPT("■",ROUND($G37*10,0))&amp;REPT("·",10-ROUND($G37*10,0))</f>
        <v/>
      </c>
      <c r="I37" s="28">
        <f>SUM(I20:I36)</f>
        <v/>
      </c>
      <c r="J37" s="28">
        <f>SUM(J20:J36)</f>
        <v/>
      </c>
    </row>
    <row r="39">
      <c r="A39" s="3" t="inlineStr">
        <is>
          <t>阶段时间轴（日期跟着 B5 出发日自动算）</t>
        </is>
      </c>
    </row>
    <row r="40">
      <c r="A40" s="29" t="inlineStr">
        <is>
          <t>阶段</t>
        </is>
      </c>
      <c r="B40" s="29" t="inlineStr">
        <is>
          <t>起</t>
        </is>
      </c>
      <c r="C40" s="29" t="inlineStr">
        <is>
          <t>止</t>
        </is>
      </c>
      <c r="D40" s="29" t="inlineStr">
        <is>
          <t>这一段要干的事</t>
        </is>
      </c>
      <c r="E40" s="29" t="inlineStr">
        <is>
          <t>条目</t>
        </is>
      </c>
      <c r="F40" s="29" t="inlineStr">
        <is>
          <t>已完成</t>
        </is>
      </c>
      <c r="G40" s="29" t="inlineStr">
        <is>
          <t>待办</t>
        </is>
      </c>
      <c r="H40" s="29" t="inlineStr">
        <is>
          <t>关键项待办</t>
        </is>
      </c>
      <c r="I40" s="29" t="inlineStr">
        <is>
          <t>完成率</t>
        </is>
      </c>
    </row>
    <row r="41">
      <c r="A41" s="19" t="inlineStr">
        <is>
          <t>T-60+ 两个月前</t>
        </is>
      </c>
      <c r="B41" s="20" t="inlineStr">
        <is>
          <t>越早越好</t>
        </is>
      </c>
      <c r="C41" s="30">
        <f>$B$5+-31</f>
        <v/>
      </c>
      <c r="D41" s="31" t="inlineStr">
        <is>
          <t>搞定录取、签证、租房定位</t>
        </is>
      </c>
      <c r="E41" s="20">
        <f>COUNTIF(清单!$B$2:$B$490,$A41)</f>
        <v/>
      </c>
      <c r="F41" s="20">
        <f>COUNTIFS(清单!$B$2:$B$490,$A41,清单!$D$2:$D$490,"已完成")</f>
        <v/>
      </c>
      <c r="G41" s="20">
        <f>COUNTIFS(清单!$B$2:$B$490,$A41,清单!$D$2:$D$490,"未完成")</f>
        <v/>
      </c>
      <c r="H41" s="20">
        <f>COUNTIFS(清单!$B$2:$B$490,$A41,清单!$E$2:$E$490,"是",清单!$D$2:$D$490,"未完成")</f>
        <v/>
      </c>
      <c r="I41" s="21">
        <f>IFERROR($F41/MAX(1,$E41-COUNTIFS(清单!$B$2:$B$490,$A41,清单!$D$2:$D$490,"不需要")),0)</f>
        <v/>
      </c>
    </row>
    <row r="42">
      <c r="A42" s="14" t="inlineStr">
        <is>
          <t>T-30 一个月前</t>
        </is>
      </c>
      <c r="B42" s="32">
        <f>$B$5+-30</f>
        <v/>
      </c>
      <c r="C42" s="32">
        <f>$B$5+-8</f>
        <v/>
      </c>
      <c r="D42" s="33" t="inlineStr">
        <is>
          <t>STP、体检、机票、看房</t>
        </is>
      </c>
      <c r="E42" s="15">
        <f>COUNTIF(清单!$B$2:$B$490,$A42)</f>
        <v/>
      </c>
      <c r="F42" s="15">
        <f>COUNTIFS(清单!$B$2:$B$490,$A42,清单!$D$2:$D$490,"已完成")</f>
        <v/>
      </c>
      <c r="G42" s="15">
        <f>COUNTIFS(清单!$B$2:$B$490,$A42,清单!$D$2:$D$490,"未完成")</f>
        <v/>
      </c>
      <c r="H42" s="15">
        <f>COUNTIFS(清单!$B$2:$B$490,$A42,清单!$E$2:$E$490,"是",清单!$D$2:$D$490,"未完成")</f>
        <v/>
      </c>
      <c r="I42" s="16">
        <f>IFERROR($F42/MAX(1,$E42-COUNTIFS(清单!$B$2:$B$490,$A42,清单!$D$2:$D$490,"不需要")),0)</f>
        <v/>
      </c>
    </row>
    <row r="43">
      <c r="A43" s="19" t="inlineStr">
        <is>
          <t>T-7 出发前一周</t>
        </is>
      </c>
      <c r="B43" s="30">
        <f>$B$5+-7</f>
        <v/>
      </c>
      <c r="C43" s="30">
        <f>$B$5+-1</f>
        <v/>
      </c>
      <c r="D43" s="31" t="inlineStr">
        <is>
          <t>收行李、国内收尾</t>
        </is>
      </c>
      <c r="E43" s="20">
        <f>COUNTIF(清单!$B$2:$B$490,$A43)</f>
        <v/>
      </c>
      <c r="F43" s="20">
        <f>COUNTIFS(清单!$B$2:$B$490,$A43,清单!$D$2:$D$490,"已完成")</f>
        <v/>
      </c>
      <c r="G43" s="20">
        <f>COUNTIFS(清单!$B$2:$B$490,$A43,清单!$D$2:$D$490,"未完成")</f>
        <v/>
      </c>
      <c r="H43" s="20">
        <f>COUNTIFS(清单!$B$2:$B$490,$A43,清单!$E$2:$E$490,"是",清单!$D$2:$D$490,"未完成")</f>
        <v/>
      </c>
      <c r="I43" s="21">
        <f>IFERROR($F43/MAX(1,$E43-COUNTIFS(清单!$B$2:$B$490,$A43,清单!$D$2:$D$490,"不需要")),0)</f>
        <v/>
      </c>
    </row>
    <row r="44">
      <c r="A44" s="14" t="inlineStr">
        <is>
          <t>D-DAY 出发当天</t>
        </is>
      </c>
      <c r="B44" s="32">
        <f>$B$5+0</f>
        <v/>
      </c>
      <c r="C44" s="32">
        <f>$B$5+0</f>
        <v/>
      </c>
      <c r="D44" s="33" t="inlineStr">
        <is>
          <t>随身件、漫游、落地准备</t>
        </is>
      </c>
      <c r="E44" s="15">
        <f>COUNTIF(清单!$B$2:$B$490,$A44)</f>
        <v/>
      </c>
      <c r="F44" s="15">
        <f>COUNTIFS(清单!$B$2:$B$490,$A44,清单!$D$2:$D$490,"已完成")</f>
        <v/>
      </c>
      <c r="G44" s="15">
        <f>COUNTIFS(清单!$B$2:$B$490,$A44,清单!$D$2:$D$490,"未完成")</f>
        <v/>
      </c>
      <c r="H44" s="15">
        <f>COUNTIFS(清单!$B$2:$B$490,$A44,清单!$E$2:$E$490,"是",清单!$D$2:$D$490,"未完成")</f>
        <v/>
      </c>
      <c r="I44" s="16">
        <f>IFERROR($F44/MAX(1,$E44-COUNTIFS(清单!$B$2:$B$490,$A44,清单!$D$2:$D$490,"不需要")),0)</f>
        <v/>
      </c>
    </row>
    <row r="45">
      <c r="A45" s="19" t="inlineStr">
        <is>
          <t>D+0 落地 48h</t>
        </is>
      </c>
      <c r="B45" s="30">
        <f>$B$5+0</f>
        <v/>
      </c>
      <c r="C45" s="30">
        <f>$B$5+2</f>
        <v/>
      </c>
      <c r="D45" s="31" t="inlineStr">
        <is>
          <t>手机卡、交通卡、验房、采买</t>
        </is>
      </c>
      <c r="E45" s="20">
        <f>COUNTIF(清单!$B$2:$B$490,$A45)</f>
        <v/>
      </c>
      <c r="F45" s="20">
        <f>COUNTIFS(清单!$B$2:$B$490,$A45,清单!$D$2:$D$490,"已完成")</f>
        <v/>
      </c>
      <c r="G45" s="20">
        <f>COUNTIFS(清单!$B$2:$B$490,$A45,清单!$D$2:$D$490,"未完成")</f>
        <v/>
      </c>
      <c r="H45" s="20">
        <f>COUNTIFS(清单!$B$2:$B$490,$A45,清单!$E$2:$E$490,"是",清单!$D$2:$D$490,"未完成")</f>
        <v/>
      </c>
      <c r="I45" s="21">
        <f>IFERROR($F45/MAX(1,$E45-COUNTIFS(清单!$B$2:$B$490,$A45,清单!$D$2:$D$490,"不需要")),0)</f>
        <v/>
      </c>
    </row>
    <row r="46">
      <c r="A46" s="14" t="inlineStr">
        <is>
          <t>W1 第一周</t>
        </is>
      </c>
      <c r="B46" s="32">
        <f>$B$5+1</f>
        <v/>
      </c>
      <c r="C46" s="32">
        <f>$B$5+7</f>
        <v/>
      </c>
      <c r="D46" s="33" t="inlineStr">
        <is>
          <t>STP、Singpass、银行卡、注册</t>
        </is>
      </c>
      <c r="E46" s="15">
        <f>COUNTIF(清单!$B$2:$B$490,$A46)</f>
        <v/>
      </c>
      <c r="F46" s="15">
        <f>COUNTIFS(清单!$B$2:$B$490,$A46,清单!$D$2:$D$490,"已完成")</f>
        <v/>
      </c>
      <c r="G46" s="15">
        <f>COUNTIFS(清单!$B$2:$B$490,$A46,清单!$D$2:$D$490,"未完成")</f>
        <v/>
      </c>
      <c r="H46" s="15">
        <f>COUNTIFS(清单!$B$2:$B$490,$A46,清单!$E$2:$E$490,"是",清单!$D$2:$D$490,"未完成")</f>
        <v/>
      </c>
      <c r="I46" s="16">
        <f>IFERROR($F46/MAX(1,$E46-COUNTIFS(清单!$B$2:$B$490,$A46,清单!$D$2:$D$490,"不需要")),0)</f>
        <v/>
      </c>
    </row>
    <row r="47">
      <c r="A47" s="19" t="inlineStr">
        <is>
          <t>M1 第一个月</t>
        </is>
      </c>
      <c r="B47" s="30">
        <f>$B$5+8</f>
        <v/>
      </c>
      <c r="C47" s="30">
        <f>$B$5+30</f>
        <v/>
      </c>
      <c r="D47" s="31" t="inlineStr">
        <is>
          <t>长期号、选课、安顿</t>
        </is>
      </c>
      <c r="E47" s="20">
        <f>COUNTIF(清单!$B$2:$B$490,$A47)</f>
        <v/>
      </c>
      <c r="F47" s="20">
        <f>COUNTIFS(清单!$B$2:$B$490,$A47,清单!$D$2:$D$490,"已完成")</f>
        <v/>
      </c>
      <c r="G47" s="20">
        <f>COUNTIFS(清单!$B$2:$B$490,$A47,清单!$D$2:$D$490,"未完成")</f>
        <v/>
      </c>
      <c r="H47" s="20">
        <f>COUNTIFS(清单!$B$2:$B$490,$A47,清单!$E$2:$E$490,"是",清单!$D$2:$D$490,"未完成")</f>
        <v/>
      </c>
      <c r="I47" s="21">
        <f>IFERROR($F47/MAX(1,$E47-COUNTIFS(清单!$B$2:$B$490,$A47,清单!$D$2:$D$490,"不需要")),0)</f>
        <v/>
      </c>
    </row>
    <row r="50">
      <c r="A50" s="3" t="inlineStr">
        <is>
          <t>怎么用</t>
        </is>
      </c>
    </row>
    <row r="51">
      <c r="A51" s="34" t="inlineStr">
        <is>
          <t>1. 「清单」表是主表。状态那一列点开下拉框选：未完成 / 已完成 / 不需要。选「不需要」的条目不算进进度和预算。</t>
        </is>
      </c>
    </row>
    <row r="52">
      <c r="A52" s="34" t="inlineStr">
        <is>
          <t>2. 要加自己的条目：直接写在「清单」表已有内容下面的空白行里（已经预留 100 行，下拉框和格式都做好了）。分类和阶段也用下拉框选，选了才会统计进这张总览。</t>
        </is>
      </c>
    </row>
    <row r="53">
      <c r="A53" s="34" t="inlineStr">
        <is>
          <t>3. 要填预算：在「清单」的「预算」列填数字，「币种」列选 SGD 或 CNY。总览和「预算」表会自动汇总。</t>
        </is>
      </c>
    </row>
    <row r="54">
      <c r="A54" s="34" t="inlineStr">
        <is>
          <t>4. 黄色格子（B5 出发日、B6 汇率）是唯一需要你手填的设置项，其余格子都是公式，别覆盖。</t>
        </is>
      </c>
    </row>
    <row r="55">
      <c r="A55" s="34" t="inlineStr">
        <is>
          <t>5. 「说明与来源」表里写了每个数字的出处、抓取日期，以及哪些是我推断的、哪些待核实。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6" customWidth="1" min="2" max="2"/>
    <col width="52" customWidth="1" min="3" max="3"/>
    <col width="11" customWidth="1" min="4" max="4"/>
    <col width="7" customWidth="1" min="5" max="5"/>
    <col width="9" customWidth="1" min="6" max="6"/>
    <col width="9" customWidth="1" min="7" max="7"/>
    <col width="8" customWidth="1" min="8" max="8"/>
    <col width="60" customWidth="1" min="9" max="9"/>
    <col width="30" customWidth="1" min="10" max="10"/>
  </cols>
  <sheetData>
    <row r="1" ht="24" customHeight="1">
      <c r="A1" s="35" t="inlineStr">
        <is>
          <t>分类</t>
        </is>
      </c>
      <c r="B1" s="35" t="inlineStr">
        <is>
          <t>阶段</t>
        </is>
      </c>
      <c r="C1" s="35" t="inlineStr">
        <is>
          <t>事项</t>
        </is>
      </c>
      <c r="D1" s="35" t="inlineStr">
        <is>
          <t>状态</t>
        </is>
      </c>
      <c r="E1" s="35" t="inlineStr">
        <is>
          <t>关键</t>
        </is>
      </c>
      <c r="F1" s="35" t="inlineStr">
        <is>
          <t>带法</t>
        </is>
      </c>
      <c r="G1" s="35" t="inlineStr">
        <is>
          <t>预算</t>
        </is>
      </c>
      <c r="H1" s="35" t="inlineStr">
        <is>
          <t>币种</t>
        </is>
      </c>
      <c r="I1" s="35" t="inlineStr">
        <is>
          <t>说明 / 出处</t>
        </is>
      </c>
      <c r="J1" s="35" t="inlineStr">
        <is>
          <t>我的备注</t>
        </is>
      </c>
    </row>
    <row r="2">
      <c r="A2" s="36" t="inlineStr">
        <is>
          <t>证件与材料</t>
        </is>
      </c>
      <c r="B2" s="37" t="inlineStr">
        <is>
          <t>T-60+ 两个月前</t>
        </is>
      </c>
      <c r="C2" s="38" t="inlineStr">
        <is>
          <t>护照 —— 有效期 ≥6 个月且覆盖整个课程</t>
        </is>
      </c>
      <c r="D2" s="37" t="inlineStr">
        <is>
          <t>未完成</t>
        </is>
      </c>
      <c r="E2" s="37" t="inlineStr">
        <is>
          <t>是</t>
        </is>
      </c>
      <c r="F2" s="37" t="inlineStr"/>
      <c r="G2" s="37" t="n"/>
      <c r="H2" s="37" t="n"/>
      <c r="I2" s="39" t="inlineStr">
        <is>
          <t>过期太早会压缩 STP 时长，来不及就先换新</t>
        </is>
      </c>
      <c r="J2" s="36" t="n"/>
    </row>
    <row r="3">
      <c r="A3" s="36" t="inlineStr">
        <is>
          <t>证件与材料</t>
        </is>
      </c>
      <c r="B3" s="37" t="inlineStr">
        <is>
          <t>T-30 一个月前</t>
        </is>
      </c>
      <c r="C3" s="38" t="inlineStr">
        <is>
          <t>护照首页 + 签证页 各复印 5 份</t>
        </is>
      </c>
      <c r="D3" s="37" t="inlineStr">
        <is>
          <t>未完成</t>
        </is>
      </c>
      <c r="E3" s="37" t="inlineStr">
        <is>
          <t>是</t>
        </is>
      </c>
      <c r="F3" s="37" t="inlineStr">
        <is>
          <t>国内带</t>
        </is>
      </c>
      <c r="G3" s="37" t="n"/>
      <c r="H3" s="37" t="n"/>
      <c r="I3" s="39" t="inlineStr">
        <is>
          <t>NTU 注册、办 STP 时反复用到（小红书 @杂菜饭主理人「25fall新硕留子の开学清单」868赞，NTU 专属，2026-09）</t>
        </is>
      </c>
      <c r="J3" s="36" t="n"/>
    </row>
    <row r="4">
      <c r="A4" s="36" t="inlineStr">
        <is>
          <t>证件与材料</t>
        </is>
      </c>
      <c r="B4" s="37" t="inlineStr">
        <is>
          <t>T-30 一个月前</t>
        </is>
      </c>
      <c r="C4" s="38" t="inlineStr">
        <is>
          <t>护照电子版存云盘 + 手机相册</t>
        </is>
      </c>
      <c r="D4" s="37" t="inlineStr">
        <is>
          <t>未完成</t>
        </is>
      </c>
      <c r="E4" s="37" t="inlineStr">
        <is>
          <t>是</t>
        </is>
      </c>
      <c r="F4" s="37" t="inlineStr"/>
      <c r="G4" s="37" t="n"/>
      <c r="H4" s="37" t="n"/>
      <c r="I4" s="39" t="inlineStr"/>
      <c r="J4" s="36" t="n"/>
    </row>
    <row r="5">
      <c r="A5" s="36" t="inlineStr">
        <is>
          <t>证件与材料</t>
        </is>
      </c>
      <c r="B5" s="37" t="inlineStr">
        <is>
          <t>T-30 一个月前</t>
        </is>
      </c>
      <c r="C5" s="38" t="inlineStr">
        <is>
          <t>IPA Letter：原件 + 复印件 3 份</t>
        </is>
      </c>
      <c r="D5" s="37" t="inlineStr">
        <is>
          <t>未完成</t>
        </is>
      </c>
      <c r="E5" s="37" t="inlineStr">
        <is>
          <t>是</t>
        </is>
      </c>
      <c r="F5" s="37" t="inlineStr">
        <is>
          <t>国内带</t>
        </is>
      </c>
      <c r="G5" s="37" t="n"/>
      <c r="H5" s="37" t="n"/>
      <c r="I5" s="39" t="inlineStr">
        <is>
          <t>入境时要出示，到校办 STP 必须提交。IPA 自带单次入境签证，不用另外办签证（小红书 @杂菜饭主理人「25fall新硕留子の开学清单」868赞，NTU 专属，2026-09）</t>
        </is>
      </c>
      <c r="J5" s="36" t="n"/>
    </row>
    <row r="6">
      <c r="A6" s="36" t="inlineStr">
        <is>
          <t>证件与材料</t>
        </is>
      </c>
      <c r="B6" s="37" t="inlineStr">
        <is>
          <t>T-30 一个月前</t>
        </is>
      </c>
      <c r="C6" s="38" t="inlineStr">
        <is>
          <t>录取通知书：PDF 原件 + 打印 2 份</t>
        </is>
      </c>
      <c r="D6" s="37" t="inlineStr">
        <is>
          <t>未完成</t>
        </is>
      </c>
      <c r="E6" s="37" t="inlineStr">
        <is>
          <t>是</t>
        </is>
      </c>
      <c r="F6" s="37" t="inlineStr">
        <is>
          <t>国内带</t>
        </is>
      </c>
      <c r="G6" s="37" t="n"/>
      <c r="H6" s="37" t="n"/>
      <c r="I6" s="39" t="inlineStr">
        <is>
          <t>NTU 注册、租房、银行开户都可能要它证明身份</t>
        </is>
      </c>
      <c r="J6" s="36" t="n"/>
    </row>
    <row r="7">
      <c r="A7" s="36" t="inlineStr">
        <is>
          <t>证件与材料</t>
        </is>
      </c>
      <c r="B7" s="37" t="inlineStr">
        <is>
          <t>T-30 一个月前</t>
        </is>
      </c>
      <c r="C7" s="38" t="inlineStr">
        <is>
          <t>本科毕业证 + 学位证 原件</t>
        </is>
      </c>
      <c r="D7" s="37" t="inlineStr">
        <is>
          <t>未完成</t>
        </is>
      </c>
      <c r="E7" s="37" t="inlineStr">
        <is>
          <t>是</t>
        </is>
      </c>
      <c r="F7" s="37" t="inlineStr">
        <is>
          <t>国内带</t>
        </is>
      </c>
      <c r="G7" s="37" t="n"/>
      <c r="H7" s="37" t="n"/>
      <c r="I7" s="39" t="inlineStr"/>
      <c r="J7" s="36" t="n"/>
    </row>
    <row r="8">
      <c r="A8" s="36" t="inlineStr">
        <is>
          <t>证件与材料</t>
        </is>
      </c>
      <c r="B8" s="37" t="inlineStr">
        <is>
          <t>T-30 一个月前</t>
        </is>
      </c>
      <c r="C8" s="38" t="inlineStr">
        <is>
          <t>毕业证学位证 英文公证件：原件 + 复印 2 份</t>
        </is>
      </c>
      <c r="D8" s="37" t="inlineStr">
        <is>
          <t>未完成</t>
        </is>
      </c>
      <c r="E8" s="37" t="inlineStr">
        <is>
          <t>是</t>
        </is>
      </c>
      <c r="F8" s="37" t="inlineStr">
        <is>
          <t>国内带</t>
        </is>
      </c>
      <c r="G8" s="37" t="n"/>
      <c r="H8" s="37" t="n"/>
      <c r="I8" s="39" t="inlineStr">
        <is>
          <t>NTU 可能抽查，部分课程注册时需验证（小红书 @杂菜饭主理人「25fall新硕留子の开学清单」868赞，NTU 专属，2026-09）</t>
        </is>
      </c>
      <c r="J8" s="36" t="n"/>
    </row>
    <row r="9">
      <c r="A9" s="36" t="inlineStr">
        <is>
          <t>证件与材料</t>
        </is>
      </c>
      <c r="B9" s="37" t="inlineStr">
        <is>
          <t>T-30 一个月前</t>
        </is>
      </c>
      <c r="C9" s="38" t="inlineStr">
        <is>
          <t>本科成绩单：中英文原件 + 复印 2 份</t>
        </is>
      </c>
      <c r="D9" s="37" t="inlineStr">
        <is>
          <t>未完成</t>
        </is>
      </c>
      <c r="E9" s="37" t="inlineStr">
        <is>
          <t>是</t>
        </is>
      </c>
      <c r="F9" s="37" t="inlineStr">
        <is>
          <t>国内带</t>
        </is>
      </c>
      <c r="G9" s="37" t="n"/>
      <c r="H9" s="37" t="n"/>
      <c r="I9" s="39" t="inlineStr">
        <is>
          <t>要加盖学校公章，GPA 相关事项可能用到</t>
        </is>
      </c>
      <c r="J9" s="36" t="n"/>
    </row>
    <row r="10">
      <c r="A10" s="36" t="inlineStr">
        <is>
          <t>证件与材料</t>
        </is>
      </c>
      <c r="B10" s="37" t="inlineStr">
        <is>
          <t>T-30 一个月前</t>
        </is>
      </c>
      <c r="C10" s="38" t="inlineStr">
        <is>
          <t>雅思/托福成绩单：原件 + 复印 2 份</t>
        </is>
      </c>
      <c r="D10" s="37" t="inlineStr">
        <is>
          <t>未完成</t>
        </is>
      </c>
      <c r="E10" s="37" t="inlineStr">
        <is>
          <t>是</t>
        </is>
      </c>
      <c r="F10" s="37" t="inlineStr">
        <is>
          <t>国内带</t>
        </is>
      </c>
      <c r="G10" s="37" t="n"/>
      <c r="H10" s="37" t="n"/>
      <c r="I10" s="39" t="inlineStr">
        <is>
          <t>NTU 部分学院注册时会核对</t>
        </is>
      </c>
      <c r="J10" s="36" t="n"/>
    </row>
    <row r="11">
      <c r="A11" s="36" t="inlineStr">
        <is>
          <t>证件与材料</t>
        </is>
      </c>
      <c r="B11" s="37" t="inlineStr">
        <is>
          <t>T-30 一个月前</t>
        </is>
      </c>
      <c r="C11" s="38" t="inlineStr">
        <is>
          <t>2 寸白底证件照 15 张（35×45mm）+ 电子版</t>
        </is>
      </c>
      <c r="D11" s="37" t="inlineStr">
        <is>
          <t>未完成</t>
        </is>
      </c>
      <c r="E11" s="37" t="inlineStr">
        <is>
          <t>是</t>
        </is>
      </c>
      <c r="F11" s="37" t="inlineStr">
        <is>
          <t>国内带</t>
        </is>
      </c>
      <c r="G11" s="40" t="n">
        <v>60</v>
      </c>
      <c r="H11" s="37" t="inlineStr">
        <is>
          <t>CNY</t>
        </is>
      </c>
      <c r="I11" s="39" t="inlineStr">
        <is>
          <t>学生证、银行卡、各种办理都要。校内拍约 15–20 新/组，国内提前拍划算得多（小红书 @杂菜饭主理人「25fall新硕留子の开学清单」868赞，NTU 专属，2026-09）</t>
        </is>
      </c>
      <c r="J11" s="36" t="n"/>
    </row>
    <row r="12">
      <c r="A12" s="36" t="inlineStr">
        <is>
          <t>证件与材料</t>
        </is>
      </c>
      <c r="B12" s="37" t="inlineStr">
        <is>
          <t>T-30 一个月前</t>
        </is>
      </c>
      <c r="C12" s="38" t="inlineStr">
        <is>
          <t>绒面小两寸证件照（OSE 用）</t>
        </is>
      </c>
      <c r="D12" s="37" t="inlineStr">
        <is>
          <t>未完成</t>
        </is>
      </c>
      <c r="E12" s="37" t="inlineStr"/>
      <c r="F12" s="37" t="inlineStr">
        <is>
          <t>国内带</t>
        </is>
      </c>
      <c r="G12" s="37" t="n"/>
      <c r="H12" s="37" t="n"/>
      <c r="I12" s="39" t="inlineStr">
        <is>
          <t>小红书 @krsttt「NUS j人留子 行前准备」733赞，2026-09 专门提到这个规格</t>
        </is>
      </c>
      <c r="J12" s="36" t="n"/>
    </row>
    <row r="13">
      <c r="A13" s="36" t="inlineStr">
        <is>
          <t>证件与材料</t>
        </is>
      </c>
      <c r="B13" s="37" t="inlineStr">
        <is>
          <t>T-30 一个月前</t>
        </is>
      </c>
      <c r="C13" s="38" t="inlineStr">
        <is>
          <t>1 寸证件照若干</t>
        </is>
      </c>
      <c r="D13" s="37" t="inlineStr">
        <is>
          <t>未完成</t>
        </is>
      </c>
      <c r="E13" s="37" t="inlineStr"/>
      <c r="F13" s="37" t="inlineStr">
        <is>
          <t>国内带</t>
        </is>
      </c>
      <c r="G13" s="37" t="n"/>
      <c r="H13" s="37" t="n"/>
      <c r="I13" s="39" t="inlineStr"/>
      <c r="J13" s="36" t="n"/>
    </row>
    <row r="14">
      <c r="A14" s="36" t="inlineStr">
        <is>
          <t>证件与材料</t>
        </is>
      </c>
      <c r="B14" s="37" t="inlineStr">
        <is>
          <t>T-60+ 两个月前</t>
        </is>
      </c>
      <c r="C14" s="38" t="inlineStr">
        <is>
          <t>学信网 / 学位网 英文认证报告</t>
        </is>
      </c>
      <c r="D14" s="37" t="inlineStr">
        <is>
          <t>未完成</t>
        </is>
      </c>
      <c r="E14" s="37" t="inlineStr"/>
      <c r="F14" s="37" t="inlineStr"/>
      <c r="G14" s="37" t="n"/>
      <c r="H14" s="37" t="n"/>
      <c r="I14" s="39" t="inlineStr"/>
      <c r="J14" s="36" t="n"/>
    </row>
    <row r="15">
      <c r="A15" s="36" t="inlineStr">
        <is>
          <t>证件与材料</t>
        </is>
      </c>
      <c r="B15" s="37" t="inlineStr">
        <is>
          <t>T-30 一个月前</t>
        </is>
      </c>
      <c r="C15" s="38" t="inlineStr">
        <is>
          <t>身份证 + 复印件</t>
        </is>
      </c>
      <c r="D15" s="37" t="inlineStr">
        <is>
          <t>未完成</t>
        </is>
      </c>
      <c r="E15" s="37" t="inlineStr">
        <is>
          <t>是</t>
        </is>
      </c>
      <c r="F15" s="37" t="inlineStr">
        <is>
          <t>国内带</t>
        </is>
      </c>
      <c r="G15" s="37" t="n"/>
      <c r="H15" s="37" t="n"/>
      <c r="I15" s="39" t="inlineStr"/>
      <c r="J15" s="36" t="n"/>
    </row>
    <row r="16">
      <c r="A16" s="36" t="inlineStr">
        <is>
          <t>证件与材料</t>
        </is>
      </c>
      <c r="B16" s="37" t="inlineStr">
        <is>
          <t>T-30 一个月前</t>
        </is>
      </c>
      <c r="C16" s="38" t="inlineStr">
        <is>
          <t>户口本复印件</t>
        </is>
      </c>
      <c r="D16" s="37" t="inlineStr">
        <is>
          <t>未完成</t>
        </is>
      </c>
      <c r="E16" s="37" t="inlineStr"/>
      <c r="F16" s="37" t="inlineStr">
        <is>
          <t>国内带</t>
        </is>
      </c>
      <c r="G16" s="37" t="n"/>
      <c r="H16" s="37" t="n"/>
      <c r="I16" s="39" t="inlineStr"/>
      <c r="J16" s="36" t="n"/>
    </row>
    <row r="17">
      <c r="A17" s="36" t="inlineStr">
        <is>
          <t>证件与材料</t>
        </is>
      </c>
      <c r="B17" s="37" t="inlineStr">
        <is>
          <t>T-7 出发前一周</t>
        </is>
      </c>
      <c r="C17" s="38" t="inlineStr">
        <is>
          <t>防水文件袋 ×2</t>
        </is>
      </c>
      <c r="D17" s="37" t="inlineStr">
        <is>
          <t>未完成</t>
        </is>
      </c>
      <c r="E17" s="37" t="inlineStr">
        <is>
          <t>是</t>
        </is>
      </c>
      <c r="F17" s="37" t="inlineStr">
        <is>
          <t>国内带</t>
        </is>
      </c>
      <c r="G17" s="37" t="n"/>
      <c r="H17" s="37" t="n"/>
      <c r="I17" s="39" t="inlineStr">
        <is>
          <t>证件分两袋装，一袋随身一袋托运，丢一个不至于全完（小红书 @杂菜饭主理人「25fall新硕留子の开学清单」868赞，NTU 专属，2026-09）</t>
        </is>
      </c>
      <c r="J17" s="36" t="n"/>
    </row>
    <row r="18">
      <c r="A18" s="36" t="inlineStr">
        <is>
          <t>证件与材料</t>
        </is>
      </c>
      <c r="B18" s="37" t="inlineStr">
        <is>
          <t>T-7 出发前一周</t>
        </is>
      </c>
      <c r="C18" s="38" t="inlineStr">
        <is>
          <t>A4 文件夹 / 资料册</t>
        </is>
      </c>
      <c r="D18" s="37" t="inlineStr">
        <is>
          <t>未完成</t>
        </is>
      </c>
      <c r="E18" s="37" t="inlineStr"/>
      <c r="F18" s="37" t="inlineStr">
        <is>
          <t>国内带</t>
        </is>
      </c>
      <c r="G18" s="37" t="n"/>
      <c r="H18" s="37" t="n"/>
      <c r="I18" s="39" t="inlineStr"/>
      <c r="J18" s="36" t="n"/>
    </row>
    <row r="19">
      <c r="A19" s="36" t="inlineStr">
        <is>
          <t>证件与材料</t>
        </is>
      </c>
      <c r="B19" s="37" t="inlineStr">
        <is>
          <t>T-7 出发前一周</t>
        </is>
      </c>
      <c r="C19" s="38" t="inlineStr">
        <is>
          <t>紧急联系人纸质卡，放钱包</t>
        </is>
      </c>
      <c r="D19" s="37" t="inlineStr">
        <is>
          <t>未完成</t>
        </is>
      </c>
      <c r="E19" s="37" t="inlineStr">
        <is>
          <t>是</t>
        </is>
      </c>
      <c r="F19" s="37" t="inlineStr">
        <is>
          <t>国内带</t>
        </is>
      </c>
      <c r="G19" s="37" t="n"/>
      <c r="H19" s="37" t="n"/>
      <c r="I19" s="39" t="inlineStr">
        <is>
          <t>写清国内家人、NTU 导师/学院行政邮箱、国际学生办公室电话（小红书 @杂菜饭主理人「25fall新硕留子の开学清单」868赞，NTU 专属，2026-09）</t>
        </is>
      </c>
      <c r="J19" s="36" t="n"/>
    </row>
    <row r="20">
      <c r="A20" s="36" t="inlineStr">
        <is>
          <t>证件与材料</t>
        </is>
      </c>
      <c r="B20" s="37" t="inlineStr">
        <is>
          <t>T-7 出发前一周</t>
        </is>
      </c>
      <c r="C20" s="38" t="inlineStr">
        <is>
          <t>中国驻新加坡大使馆地址和电话记下来</t>
        </is>
      </c>
      <c r="D20" s="37" t="inlineStr">
        <is>
          <t>未完成</t>
        </is>
      </c>
      <c r="E20" s="37" t="inlineStr"/>
      <c r="F20" s="37" t="inlineStr"/>
      <c r="G20" s="37" t="n"/>
      <c r="H20" s="37" t="n"/>
      <c r="I20" s="39" t="inlineStr"/>
      <c r="J20" s="36" t="n"/>
    </row>
    <row r="21">
      <c r="A21" s="36" t="inlineStr">
        <is>
          <t>证件与材料</t>
        </is>
      </c>
      <c r="B21" s="37" t="inlineStr">
        <is>
          <t>T-60+ 两个月前</t>
        </is>
      </c>
      <c r="C21" s="38" t="inlineStr">
        <is>
          <t>在 ICA SOLAR 提交 eForm 16</t>
        </is>
      </c>
      <c r="D21" s="37" t="inlineStr">
        <is>
          <t>未完成</t>
        </is>
      </c>
      <c r="E21" s="37" t="inlineStr">
        <is>
          <t>是</t>
        </is>
      </c>
      <c r="F21" s="37" t="inlineStr"/>
      <c r="G21" s="37" t="n"/>
      <c r="H21" s="37" t="n"/>
      <c r="I21" s="39" t="inlineStr">
        <is>
          <t>NTU 先把你的资料注册进 SOLAR；提交不早于开课前 2 个月（NTU 官网，2026-09-17）</t>
        </is>
      </c>
      <c r="J21" s="36" t="n"/>
    </row>
    <row r="22">
      <c r="A22" s="36" t="inlineStr">
        <is>
          <t>证件与材料</t>
        </is>
      </c>
      <c r="B22" s="37" t="inlineStr">
        <is>
          <t>T-60+ 两个月前</t>
        </is>
      </c>
      <c r="C22" s="38" t="inlineStr">
        <is>
          <t>缴 STP 申请处理费 S$45</t>
        </is>
      </c>
      <c r="D22" s="37" t="inlineStr">
        <is>
          <t>未完成</t>
        </is>
      </c>
      <c r="E22" s="37" t="inlineStr">
        <is>
          <t>是</t>
        </is>
      </c>
      <c r="F22" s="37" t="inlineStr"/>
      <c r="G22" s="40" t="n">
        <v>45</v>
      </c>
      <c r="H22" s="37" t="inlineStr">
        <is>
          <t>SGD</t>
        </is>
      </c>
      <c r="I22" s="39" t="inlineStr">
        <is>
          <t>提交后 7 天内不缴，申请直接作废（NTU 官网，2026-09-17）</t>
        </is>
      </c>
      <c r="J22" s="36" t="n"/>
    </row>
    <row r="23">
      <c r="A23" s="36" t="inlineStr">
        <is>
          <t>证件与材料</t>
        </is>
      </c>
      <c r="B23" s="37" t="inlineStr">
        <is>
          <t>T-60+ 两个月前</t>
        </is>
      </c>
      <c r="C23" s="38" t="inlineStr">
        <is>
          <t>入学体检：HIV + 胸片 TB</t>
        </is>
      </c>
      <c r="D23" s="37" t="inlineStr">
        <is>
          <t>未完成</t>
        </is>
      </c>
      <c r="E23" s="37" t="inlineStr">
        <is>
          <t>是</t>
        </is>
      </c>
      <c r="F23" s="37" t="inlineStr"/>
      <c r="G23" s="37" t="n"/>
      <c r="H23" s="37" t="n"/>
      <c r="I23" s="39" t="inlineStr">
        <is>
          <t>课程超过 6 个月必做（NTU 官网，2026-09-17）</t>
        </is>
      </c>
      <c r="J23" s="36" t="n"/>
    </row>
    <row r="24">
      <c r="A24" s="36" t="inlineStr">
        <is>
          <t>证件与材料</t>
        </is>
      </c>
      <c r="B24" s="37" t="inlineStr">
        <is>
          <t>T-60+ 两个月前</t>
        </is>
      </c>
      <c r="C24" s="38" t="inlineStr">
        <is>
          <t>体检报告英文版交 Fullerton Health @NTU 认证</t>
        </is>
      </c>
      <c r="D24" s="37" t="inlineStr">
        <is>
          <t>未完成</t>
        </is>
      </c>
      <c r="E24" s="37" t="inlineStr">
        <is>
          <t>是</t>
        </is>
      </c>
      <c r="F24" s="37" t="inlineStr"/>
      <c r="G24" s="40" t="n">
        <v>32</v>
      </c>
      <c r="H24" s="37" t="inlineStr">
        <is>
          <t>SGD</t>
        </is>
      </c>
      <c r="I24" s="39" t="inlineStr">
        <is>
          <t>国内做便宜；NTU 健康筛查本身 S$32（不含 GST），异常需加拍胸片 S$15（NTU 官网，2026-09-17）</t>
        </is>
      </c>
      <c r="J24" s="36" t="n"/>
    </row>
    <row r="25">
      <c r="A25" s="36" t="inlineStr">
        <is>
          <t>证件与材料</t>
        </is>
      </c>
      <c r="B25" s="37" t="inlineStr">
        <is>
          <t>T-30 一个月前</t>
        </is>
      </c>
      <c r="C25" s="38" t="inlineStr">
        <is>
          <t>把体检报告上传回 SOLAR，等 IPA</t>
        </is>
      </c>
      <c r="D25" s="37" t="inlineStr">
        <is>
          <t>未完成</t>
        </is>
      </c>
      <c r="E25" s="37" t="inlineStr">
        <is>
          <t>是</t>
        </is>
      </c>
      <c r="F25" s="37" t="inlineStr"/>
      <c r="G25" s="37" t="n"/>
      <c r="H25" s="37" t="n"/>
      <c r="I25" s="39" t="inlineStr"/>
      <c r="J25" s="36" t="n"/>
    </row>
    <row r="26">
      <c r="A26" s="36" t="inlineStr">
        <is>
          <t>证件与材料</t>
        </is>
      </c>
      <c r="B26" s="37" t="inlineStr">
        <is>
          <t>T-30 一个月前</t>
        </is>
      </c>
      <c r="C26" s="38" t="inlineStr">
        <is>
          <t>缴 STP 签发费 S$60（+ 多次往返 S$30）</t>
        </is>
      </c>
      <c r="D26" s="37" t="inlineStr">
        <is>
          <t>未完成</t>
        </is>
      </c>
      <c r="E26" s="37" t="inlineStr">
        <is>
          <t>是</t>
        </is>
      </c>
      <c r="F26" s="37" t="inlineStr"/>
      <c r="G26" s="40" t="n">
        <v>90</v>
      </c>
      <c r="H26" s="37" t="inlineStr">
        <is>
          <t>SGD</t>
        </is>
      </c>
      <c r="I26" s="39" t="inlineStr">
        <is>
          <t>要不要多次往返看你会不会中途出境旅行（NTU 官网，2026-09-17）</t>
        </is>
      </c>
      <c r="J26" s="36" t="n"/>
    </row>
    <row r="27">
      <c r="A27" s="36" t="inlineStr">
        <is>
          <t>证件与材料</t>
        </is>
      </c>
      <c r="B27" s="37" t="inlineStr">
        <is>
          <t>T-30 一个月前</t>
        </is>
      </c>
      <c r="C27" s="38" t="inlineStr">
        <is>
          <t>在 ICA 官网预约 e-Appointment</t>
        </is>
      </c>
      <c r="D27" s="37" t="inlineStr">
        <is>
          <t>未完成</t>
        </is>
      </c>
      <c r="E27" s="37" t="inlineStr">
        <is>
          <t>是</t>
        </is>
      </c>
      <c r="F27" s="37" t="inlineStr"/>
      <c r="G27" s="37" t="n"/>
      <c r="H27" s="37" t="n"/>
      <c r="I27" s="39" t="inlineStr">
        <is>
          <t>只接受预约，walk-in 办不了（ICA 官网，2026-09-17）</t>
        </is>
      </c>
      <c r="J27" s="36" t="n"/>
    </row>
    <row r="28">
      <c r="A28" s="36" t="inlineStr">
        <is>
          <t>证件与材料</t>
        </is>
      </c>
      <c r="B28" s="37" t="inlineStr">
        <is>
          <t>T-7 出发前一周</t>
        </is>
      </c>
      <c r="C28" s="38" t="inlineStr">
        <is>
          <t>填 SG Arrival Card 电子入境卡</t>
        </is>
      </c>
      <c r="D28" s="37" t="inlineStr">
        <is>
          <t>未完成</t>
        </is>
      </c>
      <c r="E28" s="37" t="inlineStr">
        <is>
          <t>是</t>
        </is>
      </c>
      <c r="F28" s="37" t="inlineStr"/>
      <c r="G28" s="37" t="n"/>
      <c r="H28" s="37" t="n"/>
      <c r="I28" s="39" t="inlineStr">
        <is>
          <t>MyICA App，入境前 3 天内填</t>
        </is>
      </c>
      <c r="J28" s="36" t="n"/>
    </row>
    <row r="29">
      <c r="A29" s="36" t="inlineStr">
        <is>
          <t>证件与材料</t>
        </is>
      </c>
      <c r="B29" s="37" t="inlineStr">
        <is>
          <t>W1 第一周</t>
        </is>
      </c>
      <c r="C29" s="38" t="inlineStr">
        <is>
          <t>落地后按预约去 ICA 完成手续、录生物识别</t>
        </is>
      </c>
      <c r="D29" s="37" t="inlineStr">
        <is>
          <t>未完成</t>
        </is>
      </c>
      <c r="E29" s="37" t="inlineStr">
        <is>
          <t>是</t>
        </is>
      </c>
      <c r="F29" s="37" t="inlineStr"/>
      <c r="G29" s="37" t="n"/>
      <c r="H29" s="37" t="n"/>
      <c r="I29" s="39" t="inlineStr">
        <is>
          <t>必须在短期访问准证或 IPA 有效期内完成，取早不取晚</t>
        </is>
      </c>
      <c r="J29" s="36" t="n"/>
    </row>
    <row r="30">
      <c r="A30" s="36" t="inlineStr">
        <is>
          <t>证件与材料</t>
        </is>
      </c>
      <c r="B30" s="37" t="inlineStr">
        <is>
          <t>W1 第一周</t>
        </is>
      </c>
      <c r="C30" s="38" t="inlineStr">
        <is>
          <t>办生物识别时手里要有能收短信的本地号</t>
        </is>
      </c>
      <c r="D30" s="37" t="inlineStr">
        <is>
          <t>未完成</t>
        </is>
      </c>
      <c r="E30" s="37" t="inlineStr">
        <is>
          <t>是</t>
        </is>
      </c>
      <c r="F30" s="37" t="inlineStr"/>
      <c r="G30" s="37" t="n"/>
      <c r="H30" s="37" t="n"/>
      <c r="I30" s="39" t="inlineStr">
        <is>
          <t>没有的话要用授权代理人的号（NTU 官网，2026-09-17）</t>
        </is>
      </c>
      <c r="J30" s="36" t="n"/>
    </row>
    <row r="31">
      <c r="A31" s="36" t="inlineStr">
        <is>
          <t>证件与材料</t>
        </is>
      </c>
      <c r="B31" s="37" t="inlineStr">
        <is>
          <t>W1 第一周</t>
        </is>
      </c>
      <c r="C31" s="38" t="inlineStr">
        <is>
          <t>收到 ICA 登录邮件后用 Singpass 取电子学生准证</t>
        </is>
      </c>
      <c r="D31" s="37" t="inlineStr">
        <is>
          <t>未完成</t>
        </is>
      </c>
      <c r="E31" s="37" t="inlineStr">
        <is>
          <t>是</t>
        </is>
      </c>
      <c r="F31" s="37" t="inlineStr"/>
      <c r="G31" s="37" t="n"/>
      <c r="H31" s="37" t="n"/>
      <c r="I31" s="39" t="inlineStr">
        <is>
          <t>一般生物识别后 7 个工作日内</t>
        </is>
      </c>
      <c r="J31" s="36" t="n"/>
    </row>
    <row r="32">
      <c r="A32" s="36" t="inlineStr">
        <is>
          <t>证件与材料</t>
        </is>
      </c>
      <c r="B32" s="37" t="inlineStr">
        <is>
          <t>T-30 一个月前</t>
        </is>
      </c>
      <c r="C32" s="38" t="inlineStr">
        <is>
          <t>疫苗接种记录英文版</t>
        </is>
      </c>
      <c r="D32" s="37" t="inlineStr">
        <is>
          <t>未完成</t>
        </is>
      </c>
      <c r="E32" s="37" t="inlineStr"/>
      <c r="F32" s="37" t="inlineStr">
        <is>
          <t>国内带</t>
        </is>
      </c>
      <c r="G32" s="37" t="n"/>
      <c r="H32" s="37" t="n"/>
      <c r="I32" s="39" t="inlineStr"/>
      <c r="J32" s="36" t="n"/>
    </row>
    <row r="33">
      <c r="A33" s="36" t="inlineStr">
        <is>
          <t>证件与材料</t>
        </is>
      </c>
      <c r="B33" s="37" t="inlineStr">
        <is>
          <t>T-30 一个月前</t>
        </is>
      </c>
      <c r="C33" s="38" t="inlineStr">
        <is>
          <t>驾照 + 英文公证件（可选）</t>
        </is>
      </c>
      <c r="D33" s="37" t="inlineStr">
        <is>
          <t>未完成</t>
        </is>
      </c>
      <c r="E33" s="37" t="inlineStr"/>
      <c r="F33" s="37" t="inlineStr">
        <is>
          <t>国内带</t>
        </is>
      </c>
      <c r="G33" s="37" t="n"/>
      <c r="H33" s="37" t="n"/>
      <c r="I33" s="39" t="inlineStr"/>
      <c r="J33" s="36" t="n"/>
    </row>
    <row r="34">
      <c r="A34" s="36" t="inlineStr">
        <is>
          <t>证件与材料</t>
        </is>
      </c>
      <c r="B34" s="37" t="inlineStr">
        <is>
          <t>T-7 出发前一周</t>
        </is>
      </c>
      <c r="C34" s="38" t="inlineStr">
        <is>
          <t>打印机票行程单</t>
        </is>
      </c>
      <c r="D34" s="37" t="inlineStr">
        <is>
          <t>未完成</t>
        </is>
      </c>
      <c r="E34" s="37" t="inlineStr"/>
      <c r="F34" s="37" t="inlineStr">
        <is>
          <t>国内带</t>
        </is>
      </c>
      <c r="G34" s="37" t="n"/>
      <c r="H34" s="37" t="n"/>
      <c r="I34" s="39" t="inlineStr">
        <is>
          <t>入境可能会问。@明天会下雨吗 说实际没用上，但打一份不占地方</t>
        </is>
      </c>
      <c r="J34" s="36" t="n"/>
    </row>
    <row r="35">
      <c r="A35" s="36" t="inlineStr">
        <is>
          <t>证件与材料</t>
        </is>
      </c>
      <c r="B35" s="37" t="inlineStr">
        <is>
          <t>T-7 出发前一周</t>
        </is>
      </c>
      <c r="C35" s="38" t="inlineStr">
        <is>
          <t>打印住宿证明 / 租约</t>
        </is>
      </c>
      <c r="D35" s="37" t="inlineStr">
        <is>
          <t>未完成</t>
        </is>
      </c>
      <c r="E35" s="37" t="inlineStr">
        <is>
          <t>是</t>
        </is>
      </c>
      <c r="F35" s="37" t="inlineStr">
        <is>
          <t>国内带</t>
        </is>
      </c>
      <c r="G35" s="37" t="n"/>
      <c r="H35" s="37" t="n"/>
      <c r="I35" s="39" t="inlineStr"/>
      <c r="J35" s="36" t="n"/>
    </row>
    <row r="36">
      <c r="A36" s="36" t="inlineStr">
        <is>
          <t>证件与材料</t>
        </is>
      </c>
      <c r="B36" s="37" t="inlineStr">
        <is>
          <t>T-7 出发前一周</t>
        </is>
      </c>
      <c r="C36" s="38" t="inlineStr">
        <is>
          <t>保险单：电子版 + 打印一份</t>
        </is>
      </c>
      <c r="D36" s="37" t="inlineStr">
        <is>
          <t>未完成</t>
        </is>
      </c>
      <c r="E36" s="37" t="inlineStr"/>
      <c r="F36" s="37" t="inlineStr">
        <is>
          <t>国内带</t>
        </is>
      </c>
      <c r="G36" s="37" t="n"/>
      <c r="H36" s="37" t="n"/>
      <c r="I36" s="39" t="inlineStr"/>
      <c r="J36" s="36" t="n"/>
    </row>
    <row r="37">
      <c r="A37" s="36" t="inlineStr">
        <is>
          <t>证件与材料</t>
        </is>
      </c>
      <c r="B37" s="37" t="inlineStr">
        <is>
          <t>T-7 出发前一周</t>
        </is>
      </c>
      <c r="C37" s="38" t="inlineStr">
        <is>
          <t>所有证件扫描件存三处：手机、云盘、邮箱</t>
        </is>
      </c>
      <c r="D37" s="37" t="inlineStr">
        <is>
          <t>未完成</t>
        </is>
      </c>
      <c r="E37" s="37" t="inlineStr">
        <is>
          <t>是</t>
        </is>
      </c>
      <c r="F37" s="37" t="inlineStr"/>
      <c r="G37" s="37" t="n"/>
      <c r="H37" s="37" t="n"/>
      <c r="I37" s="39" t="inlineStr">
        <is>
          <t>丢件时这一步能救命</t>
        </is>
      </c>
      <c r="J37" s="36" t="n"/>
    </row>
    <row r="38">
      <c r="A38" s="36" t="inlineStr">
        <is>
          <t>钱与银行</t>
        </is>
      </c>
      <c r="B38" s="37" t="inlineStr">
        <is>
          <t>T-7 出发前一周</t>
        </is>
      </c>
      <c r="C38" s="38" t="inlineStr">
        <is>
          <t>换现金 S$1000–1500，要 50/10/5 小面额</t>
        </is>
      </c>
      <c r="D38" s="37" t="inlineStr">
        <is>
          <t>未完成</t>
        </is>
      </c>
      <c r="E38" s="37" t="inlineStr">
        <is>
          <t>是</t>
        </is>
      </c>
      <c r="F38" s="37" t="inlineStr"/>
      <c r="G38" s="40" t="n">
        <v>1200</v>
      </c>
      <c r="H38" s="37" t="inlineStr">
        <is>
          <t>SGD</t>
        </is>
      </c>
      <c r="I38" s="39" t="inlineStr">
        <is>
          <t>刚到付押金、买电话卡、吃饭都用现金，小面额方便找零（小红书 @杂菜饭主理人「25fall新硕留子の开学清单」868赞，NTU 专属，2026-09）。小红书 @krsttt「NUS j人留子 行前准备」733赞，2026-09 带了 1000 新</t>
        </is>
      </c>
      <c r="J38" s="36" t="n"/>
    </row>
    <row r="39">
      <c r="A39" s="36" t="inlineStr">
        <is>
          <t>钱与银行</t>
        </is>
      </c>
      <c r="B39" s="37" t="inlineStr">
        <is>
          <t>T-30 一个月前</t>
        </is>
      </c>
      <c r="C39" s="38" t="inlineStr">
        <is>
          <t>国内银联卡 1 张</t>
        </is>
      </c>
      <c r="D39" s="37" t="inlineStr">
        <is>
          <t>未完成</t>
        </is>
      </c>
      <c r="E39" s="37" t="inlineStr">
        <is>
          <t>是</t>
        </is>
      </c>
      <c r="F39" s="37" t="inlineStr">
        <is>
          <t>国内带</t>
        </is>
      </c>
      <c r="G39" s="37" t="n"/>
      <c r="H39" s="37" t="n"/>
      <c r="I39" s="39" t="inlineStr">
        <is>
          <t>NTU 校内 ATM 支持银联取现，手续费约 1%–2%，应急用（小红书 @杂菜饭主理人「25fall新硕留子の开学清单」868赞，NTU 专属，2026-09）</t>
        </is>
      </c>
      <c r="J39" s="36" t="n"/>
    </row>
    <row r="40">
      <c r="A40" s="36" t="inlineStr">
        <is>
          <t>钱与银行</t>
        </is>
      </c>
      <c r="B40" s="37" t="inlineStr">
        <is>
          <t>T-30 一个月前</t>
        </is>
      </c>
      <c r="C40" s="38" t="inlineStr">
        <is>
          <t>国际信用卡 Visa/Mastercard 1 张</t>
        </is>
      </c>
      <c r="D40" s="37" t="inlineStr">
        <is>
          <t>未完成</t>
        </is>
      </c>
      <c r="E40" s="37" t="inlineStr">
        <is>
          <t>是</t>
        </is>
      </c>
      <c r="F40" s="37" t="inlineStr">
        <is>
          <t>国内带</t>
        </is>
      </c>
      <c r="G40" s="37" t="n"/>
      <c r="H40" s="37" t="n"/>
      <c r="I40" s="39" t="inlineStr">
        <is>
          <t>交学费、网购用，部分宿舍押金支持信用卡</t>
        </is>
      </c>
      <c r="J40" s="36" t="n"/>
    </row>
    <row r="41">
      <c r="A41" s="36" t="inlineStr">
        <is>
          <t>钱与银行</t>
        </is>
      </c>
      <c r="B41" s="37" t="inlineStr">
        <is>
          <t>T-30 一个月前</t>
        </is>
      </c>
      <c r="C41" s="38" t="inlineStr">
        <is>
          <t>国内卡开通境外消费/取现，调高单日限额</t>
        </is>
      </c>
      <c r="D41" s="37" t="inlineStr">
        <is>
          <t>未完成</t>
        </is>
      </c>
      <c r="E41" s="37" t="inlineStr">
        <is>
          <t>是</t>
        </is>
      </c>
      <c r="F41" s="37" t="inlineStr"/>
      <c r="G41" s="37" t="n"/>
      <c r="H41" s="37" t="n"/>
      <c r="I41" s="39" t="inlineStr">
        <is>
          <t>出国前在手机银行里改掉</t>
        </is>
      </c>
      <c r="J41" s="36" t="n"/>
    </row>
    <row r="42">
      <c r="A42" s="36" t="inlineStr">
        <is>
          <t>钱与银行</t>
        </is>
      </c>
      <c r="B42" s="37" t="inlineStr">
        <is>
          <t>T-7 出发前一周</t>
        </is>
      </c>
      <c r="C42" s="38" t="inlineStr">
        <is>
          <t>记下国内银行的境外客服电话</t>
        </is>
      </c>
      <c r="D42" s="37" t="inlineStr">
        <is>
          <t>未完成</t>
        </is>
      </c>
      <c r="E42" s="37" t="inlineStr"/>
      <c r="F42" s="37" t="inlineStr"/>
      <c r="G42" s="37" t="n"/>
      <c r="H42" s="37" t="n"/>
      <c r="I42" s="39" t="inlineStr">
        <is>
          <t>卡被风控时能打</t>
        </is>
      </c>
      <c r="J42" s="36" t="n"/>
    </row>
    <row r="43">
      <c r="A43" s="36" t="inlineStr">
        <is>
          <t>钱与银行</t>
        </is>
      </c>
      <c r="B43" s="37" t="inlineStr">
        <is>
          <t>T-30 一个月前</t>
        </is>
      </c>
      <c r="C43" s="38" t="inlineStr">
        <is>
          <t>确认学费缴纳方式和截止日</t>
        </is>
      </c>
      <c r="D43" s="37" t="inlineStr">
        <is>
          <t>未完成</t>
        </is>
      </c>
      <c r="E43" s="37" t="inlineStr">
        <is>
          <t>是</t>
        </is>
      </c>
      <c r="F43" s="37" t="inlineStr"/>
      <c r="G43" s="37" t="n"/>
      <c r="H43" s="37" t="n"/>
      <c r="I43" s="39" t="inlineStr">
        <is>
          <t>正式注册后约 2 周收到 NSS-Finance 账单（NTU 官网，2026-09-17）</t>
        </is>
      </c>
      <c r="J43" s="36" t="n"/>
    </row>
    <row r="44">
      <c r="A44" s="36" t="inlineStr">
        <is>
          <t>钱与银行</t>
        </is>
      </c>
      <c r="B44" s="37" t="inlineStr">
        <is>
          <t>T-30 一个月前</t>
        </is>
      </c>
      <c r="C44" s="38" t="inlineStr">
        <is>
          <t>比较跨境汇款渠道：中行跨境通 / Wise / 电汇</t>
        </is>
      </c>
      <c r="D44" s="37" t="inlineStr">
        <is>
          <t>未完成</t>
        </is>
      </c>
      <c r="E44" s="37" t="inlineStr"/>
      <c r="F44" s="37" t="inlineStr"/>
      <c r="G44" s="37" t="n"/>
      <c r="H44" s="37" t="n"/>
      <c r="I44" s="39" t="inlineStr">
        <is>
          <t>手续费和汇率差距不小</t>
        </is>
      </c>
      <c r="J44" s="36" t="n"/>
    </row>
    <row r="45">
      <c r="A45" s="36" t="inlineStr">
        <is>
          <t>钱与银行</t>
        </is>
      </c>
      <c r="B45" s="37" t="inlineStr">
        <is>
          <t>T-30 一个月前</t>
        </is>
      </c>
      <c r="C45" s="38" t="inlineStr">
        <is>
          <t>中国银行新加坡卡（可选，国内可预约）</t>
        </is>
      </c>
      <c r="D45" s="37" t="inlineStr">
        <is>
          <t>未完成</t>
        </is>
      </c>
      <c r="E45" s="37" t="inlineStr"/>
      <c r="F45" s="37" t="inlineStr"/>
      <c r="G45" s="37" t="n"/>
      <c r="H45" s="37" t="n"/>
      <c r="I45" s="39" t="inlineStr">
        <is>
          <t>搭配国内中行跨境转账免手续费</t>
        </is>
      </c>
      <c r="J45" s="36" t="n"/>
    </row>
    <row r="46">
      <c r="A46" s="36" t="inlineStr">
        <is>
          <t>钱与银行</t>
        </is>
      </c>
      <c r="B46" s="37" t="inlineStr">
        <is>
          <t>W1 第一周</t>
        </is>
      </c>
      <c r="C46" s="38" t="inlineStr">
        <is>
          <t>落地办 DBS/POSB 学生账户</t>
        </is>
      </c>
      <c r="D46" s="37" t="inlineStr">
        <is>
          <t>未完成</t>
        </is>
      </c>
      <c r="E46" s="37" t="inlineStr">
        <is>
          <t>是</t>
        </is>
      </c>
      <c r="F46" s="37" t="inlineStr"/>
      <c r="G46" s="37" t="n"/>
      <c r="H46" s="37" t="n"/>
      <c r="I46" s="39" t="inlineStr">
        <is>
          <t>全日制学生且 29 岁以下可免 S$2/月管理费；可提前线上预申请</t>
        </is>
      </c>
      <c r="J46" s="36" t="n"/>
    </row>
    <row r="47">
      <c r="A47" s="36" t="inlineStr">
        <is>
          <t>钱与银行</t>
        </is>
      </c>
      <c r="B47" s="37" t="inlineStr">
        <is>
          <t>M1 第一个月</t>
        </is>
      </c>
      <c r="C47" s="38" t="inlineStr">
        <is>
          <t>OCBC 或 UOB 作备用（可选）</t>
        </is>
      </c>
      <c r="D47" s="37" t="inlineStr">
        <is>
          <t>未完成</t>
        </is>
      </c>
      <c r="E47" s="37" t="inlineStr"/>
      <c r="F47" s="37" t="inlineStr"/>
      <c r="G47" s="37" t="n"/>
      <c r="H47" s="37" t="n"/>
      <c r="I47" s="39" t="inlineStr"/>
      <c r="J47" s="36" t="n"/>
    </row>
    <row r="48">
      <c r="A48" s="36" t="inlineStr">
        <is>
          <t>钱与银行</t>
        </is>
      </c>
      <c r="B48" s="37" t="inlineStr">
        <is>
          <t>W1 第一周</t>
        </is>
      </c>
      <c r="C48" s="38" t="inlineStr">
        <is>
          <t>绑定 PayNow / PayLah</t>
        </is>
      </c>
      <c r="D48" s="37" t="inlineStr">
        <is>
          <t>未完成</t>
        </is>
      </c>
      <c r="E48" s="37" t="inlineStr">
        <is>
          <t>是</t>
        </is>
      </c>
      <c r="F48" s="37" t="inlineStr"/>
      <c r="G48" s="37" t="n"/>
      <c r="H48" s="37" t="n"/>
      <c r="I48" s="39" t="inlineStr">
        <is>
          <t>本地转账、AA 制、付房租都靠它</t>
        </is>
      </c>
      <c r="J48" s="36" t="n"/>
    </row>
    <row r="49">
      <c r="A49" s="36" t="inlineStr">
        <is>
          <t>钱与银行</t>
        </is>
      </c>
      <c r="B49" s="37" t="inlineStr">
        <is>
          <t>T-30 一个月前</t>
        </is>
      </c>
      <c r="C49" s="38" t="inlineStr">
        <is>
          <t>准备押金 + 首月房租</t>
        </is>
      </c>
      <c r="D49" s="37" t="inlineStr">
        <is>
          <t>未完成</t>
        </is>
      </c>
      <c r="E49" s="37" t="inlineStr">
        <is>
          <t>是</t>
        </is>
      </c>
      <c r="F49" s="37" t="inlineStr"/>
      <c r="G49" s="40" t="n">
        <v>2500</v>
      </c>
      <c r="H49" s="37" t="inlineStr">
        <is>
          <t>SGD</t>
        </is>
      </c>
      <c r="I49" s="39" t="inlineStr">
        <is>
          <t>押金普遍 1–1.5 个月租金</t>
        </is>
      </c>
      <c r="J49" s="36" t="n"/>
    </row>
    <row r="50">
      <c r="A50" s="36" t="inlineStr">
        <is>
          <t>钱与银行</t>
        </is>
      </c>
      <c r="B50" s="37" t="inlineStr">
        <is>
          <t>T-30 一个月前</t>
        </is>
      </c>
      <c r="C50" s="38" t="inlineStr">
        <is>
          <t>建一个留学预算表，按月记账</t>
        </is>
      </c>
      <c r="D50" s="37" t="inlineStr">
        <is>
          <t>未完成</t>
        </is>
      </c>
      <c r="E50" s="37" t="inlineStr"/>
      <c r="F50" s="37" t="inlineStr"/>
      <c r="G50" s="37" t="n"/>
      <c r="H50" s="37" t="n"/>
      <c r="I50" s="39" t="inlineStr"/>
      <c r="J50" s="36" t="n"/>
    </row>
    <row r="51">
      <c r="A51" s="36" t="inlineStr">
        <is>
          <t>钱与银行</t>
        </is>
      </c>
      <c r="B51" s="37" t="inlineStr">
        <is>
          <t>T-30 一个月前</t>
        </is>
      </c>
      <c r="C51" s="38" t="inlineStr">
        <is>
          <t>确认 NTU 学生保险覆盖范围</t>
        </is>
      </c>
      <c r="D51" s="37" t="inlineStr">
        <is>
          <t>未完成</t>
        </is>
      </c>
      <c r="E51" s="37" t="inlineStr"/>
      <c r="F51" s="37" t="inlineStr"/>
      <c r="G51" s="37" t="n"/>
      <c r="H51" s="37" t="n"/>
      <c r="I51" s="39" t="inlineStr"/>
      <c r="J51" s="36" t="n"/>
    </row>
    <row r="52">
      <c r="A52" s="36" t="inlineStr">
        <is>
          <t>钱与银行</t>
        </is>
      </c>
      <c r="B52" s="37" t="inlineStr">
        <is>
          <t>T-30 一个月前</t>
        </is>
      </c>
      <c r="C52" s="38" t="inlineStr">
        <is>
          <t>补充医疗险 / 行李险（可选）</t>
        </is>
      </c>
      <c r="D52" s="37" t="inlineStr">
        <is>
          <t>未完成</t>
        </is>
      </c>
      <c r="E52" s="37" t="inlineStr"/>
      <c r="F52" s="37" t="inlineStr"/>
      <c r="G52" s="37" t="n"/>
      <c r="H52" s="37" t="n"/>
      <c r="I52" s="39" t="inlineStr"/>
      <c r="J52" s="36" t="n"/>
    </row>
    <row r="53">
      <c r="A53" s="36" t="inlineStr">
        <is>
          <t>钱与银行</t>
        </is>
      </c>
      <c r="B53" s="37" t="inlineStr">
        <is>
          <t>T-7 出发前一周</t>
        </is>
      </c>
      <c r="C53" s="38" t="inlineStr">
        <is>
          <t>小钱包 + 大钱包</t>
        </is>
      </c>
      <c r="D53" s="37" t="inlineStr">
        <is>
          <t>未完成</t>
        </is>
      </c>
      <c r="E53" s="37" t="inlineStr"/>
      <c r="F53" s="37" t="inlineStr">
        <is>
          <t>国内带</t>
        </is>
      </c>
      <c r="G53" s="37" t="n"/>
      <c r="H53" s="37" t="n"/>
      <c r="I53" s="39" t="inlineStr">
        <is>
          <t>小红书 @krsttt「NUS j人留子 行前准备」733赞，2026-09 两个都带了</t>
        </is>
      </c>
      <c r="J53" s="36" t="n"/>
    </row>
    <row r="54">
      <c r="A54" s="36" t="inlineStr">
        <is>
          <t>钱与银行</t>
        </is>
      </c>
      <c r="B54" s="37" t="inlineStr">
        <is>
          <t>T-7 出发前一周</t>
        </is>
      </c>
      <c r="C54" s="38" t="inlineStr">
        <is>
          <t>卡套（学生证、交通卡）</t>
        </is>
      </c>
      <c r="D54" s="37" t="inlineStr">
        <is>
          <t>未完成</t>
        </is>
      </c>
      <c r="E54" s="37" t="inlineStr"/>
      <c r="F54" s="37" t="inlineStr">
        <is>
          <t>国内带</t>
        </is>
      </c>
      <c r="G54" s="37" t="n"/>
      <c r="H54" s="37" t="n"/>
      <c r="I54" s="39" t="inlineStr"/>
      <c r="J54" s="36" t="n"/>
    </row>
    <row r="55">
      <c r="A55" s="36" t="inlineStr">
        <is>
          <t>钱与银行</t>
        </is>
      </c>
      <c r="B55" s="37" t="inlineStr">
        <is>
          <t>T-30 一个月前</t>
        </is>
      </c>
      <c r="C55" s="38" t="inlineStr">
        <is>
          <t>支付宝/微信绑好还能用的支付方式</t>
        </is>
      </c>
      <c r="D55" s="37" t="inlineStr">
        <is>
          <t>未完成</t>
        </is>
      </c>
      <c r="E55" s="37" t="inlineStr">
        <is>
          <t>是</t>
        </is>
      </c>
      <c r="F55" s="37" t="inlineStr"/>
      <c r="G55" s="37" t="n"/>
      <c r="H55" s="37" t="n"/>
      <c r="I55" s="39" t="inlineStr"/>
      <c r="J55" s="36" t="n"/>
    </row>
    <row r="56">
      <c r="A56" s="36" t="inlineStr">
        <is>
          <t>住 · 租房</t>
        </is>
      </c>
      <c r="B56" s="37" t="inlineStr">
        <is>
          <t>T-60+ 两个月前</t>
        </is>
      </c>
      <c r="C56" s="38" t="inlineStr">
        <is>
          <t>先定区域：Pioneer / Boon Lay / Jurong West / Lakeside / Clementi</t>
        </is>
      </c>
      <c r="D56" s="37" t="inlineStr">
        <is>
          <t>未完成</t>
        </is>
      </c>
      <c r="E56" s="37" t="inlineStr">
        <is>
          <t>是</t>
        </is>
      </c>
      <c r="F56" s="37" t="inlineStr"/>
      <c r="G56" s="37" t="n"/>
      <c r="H56" s="37" t="n"/>
      <c r="I56" s="39" t="inlineStr">
        <is>
          <t>越靠近绿线西段越省通勤</t>
        </is>
      </c>
      <c r="J56" s="36" t="n"/>
    </row>
    <row r="57">
      <c r="A57" s="36" t="inlineStr">
        <is>
          <t>住 · 租房</t>
        </is>
      </c>
      <c r="B57" s="37" t="inlineStr">
        <is>
          <t>T-60+ 两个月前</t>
        </is>
      </c>
      <c r="C57" s="38" t="inlineStr">
        <is>
          <t>硬指标：到 NTU 校车站或 179/199 巴士站步行 ≤5 分钟</t>
        </is>
      </c>
      <c r="D57" s="37" t="inlineStr">
        <is>
          <t>未完成</t>
        </is>
      </c>
      <c r="E57" s="37" t="inlineStr">
        <is>
          <t>是</t>
        </is>
      </c>
      <c r="F57" s="37" t="inlineStr"/>
      <c r="G57" s="37" t="n"/>
      <c r="H57" s="37" t="n"/>
      <c r="I57" s="39" t="inlineStr">
        <is>
          <t>这条比房子新旧重要得多</t>
        </is>
      </c>
      <c r="J57" s="36" t="n"/>
    </row>
    <row r="58">
      <c r="A58" s="36" t="inlineStr">
        <is>
          <t>住 · 租房</t>
        </is>
      </c>
      <c r="B58" s="37" t="inlineStr">
        <is>
          <t>T-60+ 两个月前</t>
        </is>
      </c>
      <c r="C58" s="38" t="inlineStr">
        <is>
          <t>房源渠道铺开：PropertyGuru、99.co、SRX、Carousell、小红书、学长群</t>
        </is>
      </c>
      <c r="D58" s="37" t="inlineStr">
        <is>
          <t>未完成</t>
        </is>
      </c>
      <c r="E58" s="37" t="inlineStr"/>
      <c r="F58" s="37" t="inlineStr"/>
      <c r="G58" s="37" t="n"/>
      <c r="H58" s="37" t="n"/>
      <c r="I58" s="39" t="inlineStr"/>
      <c r="J58" s="36" t="n"/>
    </row>
    <row r="59">
      <c r="A59" s="36" t="inlineStr">
        <is>
          <t>住 · 租房</t>
        </is>
      </c>
      <c r="B59" s="37" t="inlineStr">
        <is>
          <t>T-60+ 两个月前</t>
        </is>
      </c>
      <c r="C59" s="38" t="inlineStr">
        <is>
          <t>避坑：Westwood、Floravale 一带</t>
        </is>
      </c>
      <c r="D59" s="37" t="inlineStr">
        <is>
          <t>未完成</t>
        </is>
      </c>
      <c r="E59" s="37" t="inlineStr">
        <is>
          <t>是</t>
        </is>
      </c>
      <c r="F59" s="37" t="inlineStr"/>
      <c r="G59" s="37" t="n"/>
      <c r="H59" s="37" t="n"/>
      <c r="I59" s="39" t="inlineStr">
        <is>
          <t>有住户实录：要走 700–800m 到唯一直达的 199 站，社区巴士班次少挤不上，打车回去十几新（小红书 @夏芽儿「别租Westwood」241赞，2026-09）。属个人经历，自己再核</t>
        </is>
      </c>
      <c r="J59" s="36" t="n"/>
    </row>
    <row r="60">
      <c r="A60" s="36" t="inlineStr">
        <is>
          <t>住 · 租房</t>
        </is>
      </c>
      <c r="B60" s="37" t="inlineStr">
        <is>
          <t>T-60+ 两个月前</t>
        </is>
      </c>
      <c r="C60" s="38" t="inlineStr">
        <is>
          <t>想清楚组屋 vs 公寓</t>
        </is>
      </c>
      <c r="D60" s="37" t="inlineStr">
        <is>
          <t>未完成</t>
        </is>
      </c>
      <c r="E60" s="37" t="inlineStr"/>
      <c r="F60" s="37" t="inlineStr"/>
      <c r="G60" s="37" t="n"/>
      <c r="H60" s="37" t="n"/>
      <c r="I60" s="39" t="inlineStr">
        <is>
          <t>组屋便宜、楼下就是食阁巴刹；公寓有泳池健身房但贵，且不一定用得上</t>
        </is>
      </c>
      <c r="J60" s="36" t="n"/>
    </row>
    <row r="61">
      <c r="A61" s="36" t="inlineStr">
        <is>
          <t>住 · 租房</t>
        </is>
      </c>
      <c r="B61" s="37" t="inlineStr">
        <is>
          <t>T-60+ 两个月前</t>
        </is>
      </c>
      <c r="C61" s="38" t="inlineStr">
        <is>
          <t>摸清价格区间</t>
        </is>
      </c>
      <c r="D61" s="37" t="inlineStr">
        <is>
          <t>未完成</t>
        </is>
      </c>
      <c r="E61" s="37" t="inlineStr"/>
      <c r="F61" s="37" t="inlineStr"/>
      <c r="G61" s="37" t="n"/>
      <c r="H61" s="37" t="n"/>
      <c r="I61" s="39" t="inlineStr">
        <is>
          <t>小红书 2026-09 挂牌：Jurong West 普通房约 S$900/月、Lakeside 2B2B 次卧约 S$1900/月不含 bills。单套报价，不代表均价</t>
        </is>
      </c>
      <c r="J61" s="36" t="n"/>
    </row>
    <row r="62">
      <c r="A62" s="36" t="inlineStr">
        <is>
          <t>住 · 租房</t>
        </is>
      </c>
      <c r="B62" s="37" t="inlineStr">
        <is>
          <t>T-30 一个月前</t>
        </is>
      </c>
      <c r="C62" s="38" t="inlineStr">
        <is>
          <t>线上看房要求房东实拍通勤路线</t>
        </is>
      </c>
      <c r="D62" s="37" t="inlineStr">
        <is>
          <t>未完成</t>
        </is>
      </c>
      <c r="E62" s="37" t="inlineStr">
        <is>
          <t>是</t>
        </is>
      </c>
      <c r="F62" s="37" t="inlineStr"/>
      <c r="G62" s="37" t="n"/>
      <c r="H62" s="37" t="n"/>
      <c r="I62" s="39" t="inlineStr">
        <is>
          <t>不要只看地图直线距离</t>
        </is>
      </c>
      <c r="J62" s="36" t="n"/>
    </row>
    <row r="63">
      <c r="A63" s="36" t="inlineStr">
        <is>
          <t>住 · 租房</t>
        </is>
      </c>
      <c r="B63" s="37" t="inlineStr">
        <is>
          <t>T-30 一个月前</t>
        </is>
      </c>
      <c r="C63" s="38" t="inlineStr">
        <is>
          <t>核验房东身份，确认 HDB 出租已获批准</t>
        </is>
      </c>
      <c r="D63" s="37" t="inlineStr">
        <is>
          <t>未完成</t>
        </is>
      </c>
      <c r="E63" s="37" t="inlineStr">
        <is>
          <t>是</t>
        </is>
      </c>
      <c r="F63" s="37" t="inlineStr"/>
      <c r="G63" s="37" t="n"/>
      <c r="H63" s="37" t="n"/>
      <c r="I63" s="39" t="inlineStr"/>
      <c r="J63" s="36" t="n"/>
    </row>
    <row r="64">
      <c r="A64" s="36" t="inlineStr">
        <is>
          <t>住 · 租房</t>
        </is>
      </c>
      <c r="B64" s="37" t="inlineStr">
        <is>
          <t>T-30 一个月前</t>
        </is>
      </c>
      <c r="C64" s="38" t="inlineStr">
        <is>
          <t>合同逐条看</t>
        </is>
      </c>
      <c r="D64" s="37" t="inlineStr">
        <is>
          <t>未完成</t>
        </is>
      </c>
      <c r="E64" s="37" t="inlineStr">
        <is>
          <t>是</t>
        </is>
      </c>
      <c r="F64" s="37" t="inlineStr"/>
      <c r="G64" s="37" t="n"/>
      <c r="H64" s="37" t="n"/>
      <c r="I64" s="39" t="inlineStr">
        <is>
          <t>租期、押金、agent fee、水电网谁付、能否煮饭、访客规定、提前退租罚则</t>
        </is>
      </c>
      <c r="J64" s="36" t="n"/>
    </row>
    <row r="65">
      <c r="A65" s="36" t="inlineStr">
        <is>
          <t>住 · 租房</t>
        </is>
      </c>
      <c r="B65" s="37" t="inlineStr">
        <is>
          <t>T-30 一个月前</t>
        </is>
      </c>
      <c r="C65" s="38" t="inlineStr">
        <is>
          <t>确认「包不包 bills」</t>
        </is>
      </c>
      <c r="D65" s="37" t="inlineStr">
        <is>
          <t>未完成</t>
        </is>
      </c>
      <c r="E65" s="37" t="inlineStr"/>
      <c r="F65" s="37" t="inlineStr"/>
      <c r="G65" s="37" t="n"/>
      <c r="H65" s="37" t="n"/>
      <c r="I65" s="39" t="inlineStr">
        <is>
          <t>水电网燃气差价一个月可能几十上百新</t>
        </is>
      </c>
      <c r="J65" s="36" t="n"/>
    </row>
    <row r="66">
      <c r="A66" s="36" t="inlineStr">
        <is>
          <t>住 · 租房</t>
        </is>
      </c>
      <c r="B66" s="37" t="inlineStr">
        <is>
          <t>T-30 一个月前</t>
        </is>
      </c>
      <c r="C66" s="38" t="inlineStr">
        <is>
          <t>问清楚洗衣机/烘干机：有没有、洗一次多少钱</t>
        </is>
      </c>
      <c r="D66" s="37" t="inlineStr">
        <is>
          <t>未完成</t>
        </is>
      </c>
      <c r="E66" s="37" t="inlineStr"/>
      <c r="F66" s="37" t="inlineStr"/>
      <c r="G66" s="37" t="n"/>
      <c r="H66" s="37" t="n"/>
      <c r="I66" s="39" t="inlineStr"/>
      <c r="J66" s="36" t="n"/>
    </row>
    <row r="67">
      <c r="A67" s="36" t="inlineStr">
        <is>
          <t>住 · 租房</t>
        </is>
      </c>
      <c r="B67" s="37" t="inlineStr">
        <is>
          <t>T-30 一个月前</t>
        </is>
      </c>
      <c r="C67" s="38" t="inlineStr">
        <is>
          <t>问清楚房间里有没有床、床垫、衣柜、书桌、空调</t>
        </is>
      </c>
      <c r="D67" s="37" t="inlineStr">
        <is>
          <t>未完成</t>
        </is>
      </c>
      <c r="E67" s="37" t="inlineStr">
        <is>
          <t>是</t>
        </is>
      </c>
      <c r="F67" s="37" t="inlineStr"/>
      <c r="G67" s="37" t="n"/>
      <c r="H67" s="37" t="n"/>
      <c r="I67" s="39" t="inlineStr">
        <is>
          <t>unfurnished 的房间要自己买家具，成本差很多</t>
        </is>
      </c>
      <c r="J67" s="36" t="n"/>
    </row>
    <row r="68">
      <c r="A68" s="36" t="inlineStr">
        <is>
          <t>住 · 租房</t>
        </is>
      </c>
      <c r="B68" s="37" t="inlineStr">
        <is>
          <t>T-30 一个月前</t>
        </is>
      </c>
      <c r="C68" s="38" t="inlineStr">
        <is>
          <t>量一下床的尺寸再买床品</t>
        </is>
      </c>
      <c r="D68" s="37" t="inlineStr">
        <is>
          <t>未完成</t>
        </is>
      </c>
      <c r="E68" s="37" t="inlineStr">
        <is>
          <t>是</t>
        </is>
      </c>
      <c r="F68" s="37" t="inlineStr"/>
      <c r="G68" s="37" t="n"/>
      <c r="H68" s="37" t="n"/>
      <c r="I68" s="39" t="inlineStr">
        <is>
          <t>本地单人床多为 90cm×190cm（小红书 @杂菜饭主理人「25fall新硕留子の开学清单」868赞，NTU 专属，2026-09）</t>
        </is>
      </c>
      <c r="J68" s="36" t="n"/>
    </row>
    <row r="69">
      <c r="A69" s="36" t="inlineStr">
        <is>
          <t>住 · 租房</t>
        </is>
      </c>
      <c r="B69" s="37" t="inlineStr">
        <is>
          <t>T-30 一个月前</t>
        </is>
      </c>
      <c r="C69" s="38" t="inlineStr">
        <is>
          <t>确认插座类型和数量</t>
        </is>
      </c>
      <c r="D69" s="37" t="inlineStr">
        <is>
          <t>未完成</t>
        </is>
      </c>
      <c r="E69" s="37" t="inlineStr"/>
      <c r="F69" s="37" t="inlineStr"/>
      <c r="G69" s="37" t="n"/>
      <c r="H69" s="37" t="n"/>
      <c r="I69" s="39" t="inlineStr">
        <is>
          <t>英标三方扁头，230V/50Hz</t>
        </is>
      </c>
      <c r="J69" s="36" t="n"/>
    </row>
    <row r="70">
      <c r="A70" s="36" t="inlineStr">
        <is>
          <t>住 · 租房</t>
        </is>
      </c>
      <c r="B70" s="37" t="inlineStr">
        <is>
          <t>T-60+ 两个月前</t>
        </is>
      </c>
      <c r="C70" s="38" t="inlineStr">
        <is>
          <t>找室友：性别、作息、卫生习惯、公摊怎么算 提前讲清</t>
        </is>
      </c>
      <c r="D70" s="37" t="inlineStr">
        <is>
          <t>未完成</t>
        </is>
      </c>
      <c r="E70" s="37" t="inlineStr"/>
      <c r="F70" s="37" t="inlineStr"/>
      <c r="G70" s="37" t="n"/>
      <c r="H70" s="37" t="n"/>
      <c r="I70" s="39" t="inlineStr"/>
      <c r="J70" s="36" t="n"/>
    </row>
    <row r="71">
      <c r="A71" s="36" t="inlineStr">
        <is>
          <t>住 · 租房</t>
        </is>
      </c>
      <c r="B71" s="37" t="inlineStr">
        <is>
          <t>T-30 一个月前</t>
        </is>
      </c>
      <c r="C71" s="38" t="inlineStr">
        <is>
          <t>备选方案：先订 3–7 天短租/酒店，落地线下看房再签</t>
        </is>
      </c>
      <c r="D71" s="37" t="inlineStr">
        <is>
          <t>未完成</t>
        </is>
      </c>
      <c r="E71" s="37" t="inlineStr"/>
      <c r="F71" s="37" t="inlineStr"/>
      <c r="G71" s="37" t="n"/>
      <c r="H71" s="37" t="n"/>
      <c r="I71" s="39" t="inlineStr">
        <is>
          <t>不确定就别在国内签死</t>
        </is>
      </c>
      <c r="J71" s="36" t="n"/>
    </row>
    <row r="72">
      <c r="A72" s="36" t="inlineStr">
        <is>
          <t>住 · 租房</t>
        </is>
      </c>
      <c r="B72" s="37" t="inlineStr">
        <is>
          <t>D+0 落地 48h</t>
        </is>
      </c>
      <c r="C72" s="38" t="inlineStr">
        <is>
          <t>入住验房：拍视频 + 照片存证，家具电器逐件测试</t>
        </is>
      </c>
      <c r="D72" s="37" t="inlineStr">
        <is>
          <t>未完成</t>
        </is>
      </c>
      <c r="E72" s="37" t="inlineStr">
        <is>
          <t>是</t>
        </is>
      </c>
      <c r="F72" s="37" t="inlineStr"/>
      <c r="G72" s="37" t="n"/>
      <c r="H72" s="37" t="n"/>
      <c r="I72" s="39" t="inlineStr">
        <is>
          <t>搬走时退押金全靠这些</t>
        </is>
      </c>
      <c r="J72" s="36" t="n"/>
    </row>
    <row r="73">
      <c r="A73" s="36" t="inlineStr">
        <is>
          <t>住 · 租房</t>
        </is>
      </c>
      <c r="B73" s="37" t="inlineStr">
        <is>
          <t>D+0 落地 48h</t>
        </is>
      </c>
      <c r="C73" s="38" t="inlineStr">
        <is>
          <t>留存押金收据 / 转账凭证</t>
        </is>
      </c>
      <c r="D73" s="37" t="inlineStr">
        <is>
          <t>未完成</t>
        </is>
      </c>
      <c r="E73" s="37" t="inlineStr">
        <is>
          <t>是</t>
        </is>
      </c>
      <c r="F73" s="37" t="inlineStr"/>
      <c r="G73" s="37" t="n"/>
      <c r="H73" s="37" t="n"/>
      <c r="I73" s="39" t="inlineStr"/>
      <c r="J73" s="36" t="n"/>
    </row>
    <row r="74">
      <c r="A74" s="36" t="inlineStr">
        <is>
          <t>住 · 租房</t>
        </is>
      </c>
      <c r="B74" s="37" t="inlineStr">
        <is>
          <t>D+0 落地 48h</t>
        </is>
      </c>
      <c r="C74" s="38" t="inlineStr">
        <is>
          <t>要 WiFi 密码、电箱和水阀位置</t>
        </is>
      </c>
      <c r="D74" s="37" t="inlineStr">
        <is>
          <t>未完成</t>
        </is>
      </c>
      <c r="E74" s="37" t="inlineStr"/>
      <c r="F74" s="37" t="inlineStr"/>
      <c r="G74" s="37" t="n"/>
      <c r="H74" s="37" t="n"/>
      <c r="I74" s="39" t="inlineStr"/>
      <c r="J74" s="36" t="n"/>
    </row>
    <row r="75">
      <c r="A75" s="36" t="inlineStr">
        <is>
          <t>住 · 床品家居</t>
        </is>
      </c>
      <c r="B75" s="37" t="inlineStr">
        <is>
          <t>T-7 出发前一周</t>
        </is>
      </c>
      <c r="C75" s="38" t="inlineStr">
        <is>
          <t>床单 ×1–2</t>
        </is>
      </c>
      <c r="D75" s="37" t="inlineStr">
        <is>
          <t>未完成</t>
        </is>
      </c>
      <c r="E75" s="37" t="inlineStr"/>
      <c r="F75" s="37" t="inlineStr">
        <is>
          <t>国内带</t>
        </is>
      </c>
      <c r="G75" s="37" t="n"/>
      <c r="H75" s="37" t="n"/>
      <c r="I75" s="39" t="inlineStr">
        <is>
          <t>确认床尺寸后再买，本地单人床多为 90×190cm；也可落地在 IKEA 或 Courts 买（小红书 @杂菜饭主理人「25fall新硕留子の开学清单」868赞，NTU 专属，2026-09）</t>
        </is>
      </c>
      <c r="J75" s="36" t="n"/>
    </row>
    <row r="76">
      <c r="A76" s="36" t="inlineStr">
        <is>
          <t>住 · 床品家居</t>
        </is>
      </c>
      <c r="B76" s="37" t="inlineStr">
        <is>
          <t>T-7 出发前一周</t>
        </is>
      </c>
      <c r="C76" s="38" t="inlineStr">
        <is>
          <t>被套 ×1–2</t>
        </is>
      </c>
      <c r="D76" s="37" t="inlineStr">
        <is>
          <t>未完成</t>
        </is>
      </c>
      <c r="E76" s="37" t="inlineStr"/>
      <c r="F76" s="37" t="inlineStr">
        <is>
          <t>国内带</t>
        </is>
      </c>
      <c r="G76" s="37" t="n"/>
      <c r="H76" s="37" t="n"/>
      <c r="I76" s="39" t="inlineStr"/>
      <c r="J76" s="36" t="n"/>
    </row>
    <row r="77">
      <c r="A77" s="36" t="inlineStr">
        <is>
          <t>住 · 床品家居</t>
        </is>
      </c>
      <c r="B77" s="37" t="inlineStr">
        <is>
          <t>T-7 出发前一周</t>
        </is>
      </c>
      <c r="C77" s="38" t="inlineStr">
        <is>
          <t>枕套 ×2</t>
        </is>
      </c>
      <c r="D77" s="37" t="inlineStr">
        <is>
          <t>未完成</t>
        </is>
      </c>
      <c r="E77" s="37" t="inlineStr"/>
      <c r="F77" s="37" t="inlineStr">
        <is>
          <t>国内带</t>
        </is>
      </c>
      <c r="G77" s="37" t="n"/>
      <c r="H77" s="37" t="n"/>
      <c r="I77" s="39" t="inlineStr"/>
      <c r="J77" s="36" t="n"/>
    </row>
    <row r="78">
      <c r="A78" s="36" t="inlineStr">
        <is>
          <t>住 · 床品家居</t>
        </is>
      </c>
      <c r="B78" s="37" t="inlineStr">
        <is>
          <t>T-7 出发前一周</t>
        </is>
      </c>
      <c r="C78" s="38" t="inlineStr">
        <is>
          <t>床垫罩 / 保护垫</t>
        </is>
      </c>
      <c r="D78" s="37" t="inlineStr">
        <is>
          <t>未完成</t>
        </is>
      </c>
      <c r="E78" s="37" t="inlineStr"/>
      <c r="F78" s="37" t="inlineStr">
        <is>
          <t>国内带</t>
        </is>
      </c>
      <c r="G78" s="37" t="n"/>
      <c r="H78" s="37" t="n"/>
      <c r="I78" s="39" t="inlineStr">
        <is>
          <t>小红书 @krsttt「NUS j人留子 行前准备」733赞，2026-09 列了</t>
        </is>
      </c>
      <c r="J78" s="36" t="n"/>
    </row>
    <row r="79">
      <c r="A79" s="36" t="inlineStr">
        <is>
          <t>住 · 床品家居</t>
        </is>
      </c>
      <c r="B79" s="37" t="inlineStr">
        <is>
          <t>T-7 出发前一周</t>
        </is>
      </c>
      <c r="C79" s="38" t="inlineStr">
        <is>
          <t>夏凉被 / 空调被 ×1</t>
        </is>
      </c>
      <c r="D79" s="37" t="inlineStr">
        <is>
          <t>未完成</t>
        </is>
      </c>
      <c r="E79" s="37" t="inlineStr">
        <is>
          <t>是</t>
        </is>
      </c>
      <c r="F79" s="37" t="inlineStr">
        <is>
          <t>国内带</t>
        </is>
      </c>
      <c r="G79" s="37" t="n"/>
      <c r="H79" s="37" t="n"/>
      <c r="I79" s="39" t="inlineStr">
        <is>
          <t>室内空调开得很低，但不需要厚被子</t>
        </is>
      </c>
      <c r="J79" s="36" t="n"/>
    </row>
    <row r="80">
      <c r="A80" s="36" t="inlineStr">
        <is>
          <t>住 · 床品家居</t>
        </is>
      </c>
      <c r="B80" s="37" t="inlineStr">
        <is>
          <t>T-7 出发前一周</t>
        </is>
      </c>
      <c r="C80" s="38" t="inlineStr">
        <is>
          <t>枕头</t>
        </is>
      </c>
      <c r="D80" s="37" t="inlineStr">
        <is>
          <t>未完成</t>
        </is>
      </c>
      <c r="E80" s="37" t="inlineStr"/>
      <c r="F80" s="37" t="inlineStr">
        <is>
          <t>国内带</t>
        </is>
      </c>
      <c r="G80" s="37" t="n"/>
      <c r="H80" s="37" t="n"/>
      <c r="I80" s="39" t="inlineStr">
        <is>
          <t>小红书 @明天会下雨吗？「新加坡留学之什么真的该带」576赞，2026-09：这边枕头贵且不好睡，对枕头有要求的一定自己带</t>
        </is>
      </c>
      <c r="J80" s="36" t="n"/>
    </row>
    <row r="81">
      <c r="A81" s="36" t="inlineStr">
        <is>
          <t>住 · 床品家居</t>
        </is>
      </c>
      <c r="B81" s="37" t="inlineStr">
        <is>
          <t>T-7 出发前一周</t>
        </is>
      </c>
      <c r="C81" s="38" t="inlineStr">
        <is>
          <t>遮光眼罩</t>
        </is>
      </c>
      <c r="D81" s="37" t="inlineStr">
        <is>
          <t>未完成</t>
        </is>
      </c>
      <c r="E81" s="37" t="inlineStr"/>
      <c r="F81" s="37" t="inlineStr">
        <is>
          <t>国内带</t>
        </is>
      </c>
      <c r="G81" s="37" t="n"/>
      <c r="H81" s="37" t="n"/>
      <c r="I81" s="39" t="inlineStr"/>
      <c r="J81" s="36" t="n"/>
    </row>
    <row r="82">
      <c r="A82" s="36" t="inlineStr">
        <is>
          <t>住 · 床品家居</t>
        </is>
      </c>
      <c r="B82" s="37" t="inlineStr">
        <is>
          <t>T-7 出发前一周</t>
        </is>
      </c>
      <c r="C82" s="38" t="inlineStr">
        <is>
          <t>耳塞</t>
        </is>
      </c>
      <c r="D82" s="37" t="inlineStr">
        <is>
          <t>未完成</t>
        </is>
      </c>
      <c r="E82" s="37" t="inlineStr"/>
      <c r="F82" s="37" t="inlineStr">
        <is>
          <t>国内带</t>
        </is>
      </c>
      <c r="G82" s="37" t="n"/>
      <c r="H82" s="37" t="n"/>
      <c r="I82" s="39" t="inlineStr"/>
      <c r="J82" s="36" t="n"/>
    </row>
    <row r="83">
      <c r="A83" s="36" t="inlineStr">
        <is>
          <t>住 · 床品家居</t>
        </is>
      </c>
      <c r="B83" s="37" t="inlineStr">
        <is>
          <t>T-7 出发前一周</t>
        </is>
      </c>
      <c r="C83" s="38" t="inlineStr">
        <is>
          <t>毛巾 ×2 / 速干毛巾</t>
        </is>
      </c>
      <c r="D83" s="37" t="inlineStr">
        <is>
          <t>未完成</t>
        </is>
      </c>
      <c r="E83" s="37" t="inlineStr"/>
      <c r="F83" s="37" t="inlineStr">
        <is>
          <t>国内带</t>
        </is>
      </c>
      <c r="G83" s="37" t="n"/>
      <c r="H83" s="37" t="n"/>
      <c r="I83" s="39" t="inlineStr">
        <is>
          <t>小红书 @明天会下雨吗？「新加坡留学之什么真的该带」576赞，2026-09 推荐速干款</t>
        </is>
      </c>
      <c r="J83" s="36" t="n"/>
    </row>
    <row r="84">
      <c r="A84" s="36" t="inlineStr">
        <is>
          <t>住 · 床品家居</t>
        </is>
      </c>
      <c r="B84" s="37" t="inlineStr">
        <is>
          <t>T-7 出发前一周</t>
        </is>
      </c>
      <c r="C84" s="38" t="inlineStr">
        <is>
          <t>浴巾 ×1</t>
        </is>
      </c>
      <c r="D84" s="37" t="inlineStr">
        <is>
          <t>未完成</t>
        </is>
      </c>
      <c r="E84" s="37" t="inlineStr"/>
      <c r="F84" s="37" t="inlineStr">
        <is>
          <t>国内带</t>
        </is>
      </c>
      <c r="G84" s="37" t="n"/>
      <c r="H84" s="37" t="n"/>
      <c r="I84" s="39" t="inlineStr"/>
      <c r="J84" s="36" t="n"/>
    </row>
    <row r="85">
      <c r="A85" s="36" t="inlineStr">
        <is>
          <t>住 · 床品家居</t>
        </is>
      </c>
      <c r="B85" s="37" t="inlineStr">
        <is>
          <t>T-7 出发前一周</t>
        </is>
      </c>
      <c r="C85" s="38" t="inlineStr">
        <is>
          <t>折叠晾衣架 ×10</t>
        </is>
      </c>
      <c r="D85" s="37" t="inlineStr">
        <is>
          <t>未完成</t>
        </is>
      </c>
      <c r="E85" s="37" t="inlineStr"/>
      <c r="F85" s="37" t="inlineStr">
        <is>
          <t>国内带</t>
        </is>
      </c>
      <c r="G85" s="37" t="n"/>
      <c r="H85" s="37" t="n"/>
      <c r="I85" s="39" t="inlineStr">
        <is>
          <t>小红书 @杂菜饭主理人「25fall新硕留子の开学清单」868赞，NTU 专属，2026-09：宿舍晾衣空间有限，折叠款方便收纳。但 小红书 @明天会下雨吗？「新加坡留学之什么真的该带」576赞，2026-09 认为不用带，本地 1 新约 12 个 —— 自己权衡</t>
        </is>
      </c>
      <c r="J85" s="36" t="n"/>
    </row>
    <row r="86">
      <c r="A86" s="36" t="inlineStr">
        <is>
          <t>住 · 床品家居</t>
        </is>
      </c>
      <c r="B86" s="37" t="inlineStr">
        <is>
          <t>T-7 出发前一周</t>
        </is>
      </c>
      <c r="C86" s="38" t="inlineStr">
        <is>
          <t>裤架 / 晾衣夹</t>
        </is>
      </c>
      <c r="D86" s="37" t="inlineStr">
        <is>
          <t>未完成</t>
        </is>
      </c>
      <c r="E86" s="37" t="inlineStr"/>
      <c r="F86" s="37" t="inlineStr">
        <is>
          <t>落地买</t>
        </is>
      </c>
      <c r="G86" s="37" t="n"/>
      <c r="H86" s="37" t="n"/>
      <c r="I86" s="39" t="inlineStr"/>
      <c r="J86" s="36" t="n"/>
    </row>
    <row r="87">
      <c r="A87" s="36" t="inlineStr">
        <is>
          <t>住 · 床品家居</t>
        </is>
      </c>
      <c r="B87" s="37" t="inlineStr">
        <is>
          <t>T-7 出发前一周</t>
        </is>
      </c>
      <c r="C87" s="38" t="inlineStr">
        <is>
          <t>台灯</t>
        </is>
      </c>
      <c r="D87" s="37" t="inlineStr">
        <is>
          <t>未完成</t>
        </is>
      </c>
      <c r="E87" s="37" t="inlineStr"/>
      <c r="F87" s="37" t="inlineStr">
        <is>
          <t>国内带</t>
        </is>
      </c>
      <c r="G87" s="37" t="n"/>
      <c r="H87" s="37" t="n"/>
      <c r="I87" s="39" t="inlineStr"/>
      <c r="J87" s="36" t="n"/>
    </row>
    <row r="88">
      <c r="A88" s="36" t="inlineStr">
        <is>
          <t>住 · 床品家居</t>
        </is>
      </c>
      <c r="B88" s="37" t="inlineStr">
        <is>
          <t>T-7 出发前一周</t>
        </is>
      </c>
      <c r="C88" s="38" t="inlineStr">
        <is>
          <t>手持小风扇</t>
        </is>
      </c>
      <c r="D88" s="37" t="inlineStr">
        <is>
          <t>未完成</t>
        </is>
      </c>
      <c r="E88" s="37" t="inlineStr"/>
      <c r="F88" s="37" t="inlineStr">
        <is>
          <t>国内带</t>
        </is>
      </c>
      <c r="G88" s="37" t="n"/>
      <c r="H88" s="37" t="n"/>
      <c r="I88" s="39" t="inlineStr">
        <is>
          <t>小红书 @明天会下雨吗？「新加坡留学之什么真的该带」576赞，2026-09：好用！有用！</t>
        </is>
      </c>
      <c r="J88" s="36" t="n"/>
    </row>
    <row r="89">
      <c r="A89" s="36" t="inlineStr">
        <is>
          <t>住 · 床品家居</t>
        </is>
      </c>
      <c r="B89" s="37" t="inlineStr">
        <is>
          <t>D+0 落地 48h</t>
        </is>
      </c>
      <c r="C89" s="38" t="inlineStr">
        <is>
          <t>除湿盒 / 干燥剂</t>
        </is>
      </c>
      <c r="D89" s="37" t="inlineStr">
        <is>
          <t>未完成</t>
        </is>
      </c>
      <c r="E89" s="37" t="inlineStr"/>
      <c r="F89" s="37" t="inlineStr">
        <is>
          <t>落地买</t>
        </is>
      </c>
      <c r="G89" s="37" t="n"/>
      <c r="H89" s="37" t="n"/>
      <c r="I89" s="39" t="inlineStr">
        <is>
          <t>常年高湿，衣柜容易发霉</t>
        </is>
      </c>
      <c r="J89" s="36" t="n"/>
    </row>
    <row r="90">
      <c r="A90" s="36" t="inlineStr">
        <is>
          <t>住 · 床品家居</t>
        </is>
      </c>
      <c r="B90" s="37" t="inlineStr">
        <is>
          <t>T-7 出发前一周</t>
        </is>
      </c>
      <c r="C90" s="38" t="inlineStr">
        <is>
          <t>防霉贴 / 樟脑丸</t>
        </is>
      </c>
      <c r="D90" s="37" t="inlineStr">
        <is>
          <t>未完成</t>
        </is>
      </c>
      <c r="E90" s="37" t="inlineStr"/>
      <c r="F90" s="37" t="inlineStr">
        <is>
          <t>国内带</t>
        </is>
      </c>
      <c r="G90" s="37" t="n"/>
      <c r="H90" s="37" t="n"/>
      <c r="I90" s="39" t="inlineStr"/>
      <c r="J90" s="36" t="n"/>
    </row>
    <row r="91">
      <c r="A91" s="36" t="inlineStr">
        <is>
          <t>住 · 床品家居</t>
        </is>
      </c>
      <c r="B91" s="37" t="inlineStr">
        <is>
          <t>T-7 出发前一周</t>
        </is>
      </c>
      <c r="C91" s="38" t="inlineStr">
        <is>
          <t>电蚊香 / 驱蚊液 / 无比滴</t>
        </is>
      </c>
      <c r="D91" s="37" t="inlineStr">
        <is>
          <t>未完成</t>
        </is>
      </c>
      <c r="E91" s="37" t="inlineStr">
        <is>
          <t>是</t>
        </is>
      </c>
      <c r="F91" s="37" t="inlineStr">
        <is>
          <t>国内带</t>
        </is>
      </c>
      <c r="G91" s="37" t="n"/>
      <c r="H91" s="37" t="n"/>
      <c r="I91" s="39" t="inlineStr">
        <is>
          <t>新加坡有登革热，别省这个。小红书 @krsttt「NUS j人留子 行前准备」733赞，2026-09 带了无比滴</t>
        </is>
      </c>
      <c r="J91" s="36" t="n"/>
    </row>
    <row r="92">
      <c r="A92" s="36" t="inlineStr">
        <is>
          <t>住 · 床品家居</t>
        </is>
      </c>
      <c r="B92" s="37" t="inlineStr">
        <is>
          <t>T-7 出发前一周</t>
        </is>
      </c>
      <c r="C92" s="38" t="inlineStr">
        <is>
          <t>衣物收纳箱 / 收纳袋</t>
        </is>
      </c>
      <c r="D92" s="37" t="inlineStr">
        <is>
          <t>未完成</t>
        </is>
      </c>
      <c r="E92" s="37" t="inlineStr"/>
      <c r="F92" s="37" t="inlineStr">
        <is>
          <t>落地买</t>
        </is>
      </c>
      <c r="G92" s="37" t="n"/>
      <c r="H92" s="37" t="n"/>
      <c r="I92" s="39" t="inlineStr"/>
      <c r="J92" s="36" t="n"/>
    </row>
    <row r="93">
      <c r="A93" s="36" t="inlineStr">
        <is>
          <t>住 · 床品家居</t>
        </is>
      </c>
      <c r="B93" s="37" t="inlineStr">
        <is>
          <t>T-7 出发前一周</t>
        </is>
      </c>
      <c r="C93" s="38" t="inlineStr">
        <is>
          <t>真空压缩袋</t>
        </is>
      </c>
      <c r="D93" s="37" t="inlineStr">
        <is>
          <t>未完成</t>
        </is>
      </c>
      <c r="E93" s="37" t="inlineStr"/>
      <c r="F93" s="37" t="inlineStr">
        <is>
          <t>国内带</t>
        </is>
      </c>
      <c r="G93" s="37" t="n"/>
      <c r="H93" s="37" t="n"/>
      <c r="I93" s="39" t="inlineStr">
        <is>
          <t>能省不少行李空间</t>
        </is>
      </c>
      <c r="J93" s="36" t="n"/>
    </row>
    <row r="94">
      <c r="A94" s="36" t="inlineStr">
        <is>
          <t>住 · 床品家居</t>
        </is>
      </c>
      <c r="B94" s="37" t="inlineStr">
        <is>
          <t>T-7 出发前一周</t>
        </is>
      </c>
      <c r="C94" s="38" t="inlineStr">
        <is>
          <t>免钉挂钩</t>
        </is>
      </c>
      <c r="D94" s="37" t="inlineStr">
        <is>
          <t>未完成</t>
        </is>
      </c>
      <c r="E94" s="37" t="inlineStr"/>
      <c r="F94" s="37" t="inlineStr">
        <is>
          <t>国内带</t>
        </is>
      </c>
      <c r="G94" s="37" t="n"/>
      <c r="H94" s="37" t="n"/>
      <c r="I94" s="39" t="inlineStr"/>
      <c r="J94" s="36" t="n"/>
    </row>
    <row r="95">
      <c r="A95" s="36" t="inlineStr">
        <is>
          <t>住 · 床品家居</t>
        </is>
      </c>
      <c r="B95" s="37" t="inlineStr">
        <is>
          <t>T-7 出发前一周</t>
        </is>
      </c>
      <c r="C95" s="38" t="inlineStr">
        <is>
          <t>化妆镜 / 小镜子</t>
        </is>
      </c>
      <c r="D95" s="37" t="inlineStr">
        <is>
          <t>未完成</t>
        </is>
      </c>
      <c r="E95" s="37" t="inlineStr"/>
      <c r="F95" s="37" t="inlineStr">
        <is>
          <t>国内带</t>
        </is>
      </c>
      <c r="G95" s="37" t="n"/>
      <c r="H95" s="37" t="n"/>
      <c r="I95" s="39" t="inlineStr">
        <is>
          <t>小红书 @明天会下雨吗？「新加坡留学之什么真的该带」576赞，2026-09 推荐带一个</t>
        </is>
      </c>
      <c r="J95" s="36" t="n"/>
    </row>
    <row r="96">
      <c r="A96" s="36" t="inlineStr">
        <is>
          <t>住 · 床品家居</t>
        </is>
      </c>
      <c r="B96" s="37" t="inlineStr">
        <is>
          <t>D+0 落地 48h</t>
        </is>
      </c>
      <c r="C96" s="38" t="inlineStr">
        <is>
          <t>门后挂架 / 置物架</t>
        </is>
      </c>
      <c r="D96" s="37" t="inlineStr">
        <is>
          <t>未完成</t>
        </is>
      </c>
      <c r="E96" s="37" t="inlineStr"/>
      <c r="F96" s="37" t="inlineStr">
        <is>
          <t>落地买</t>
        </is>
      </c>
      <c r="G96" s="37" t="n"/>
      <c r="H96" s="37" t="n"/>
      <c r="I96" s="39" t="inlineStr"/>
      <c r="J96" s="36" t="n"/>
    </row>
    <row r="97">
      <c r="A97" s="36" t="inlineStr">
        <is>
          <t>住 · 床品家居</t>
        </is>
      </c>
      <c r="B97" s="37" t="inlineStr">
        <is>
          <t>D+0 落地 48h</t>
        </is>
      </c>
      <c r="C97" s="38" t="inlineStr">
        <is>
          <t>折叠小桌板（可选）</t>
        </is>
      </c>
      <c r="D97" s="37" t="inlineStr">
        <is>
          <t>未完成</t>
        </is>
      </c>
      <c r="E97" s="37" t="inlineStr"/>
      <c r="F97" s="37" t="inlineStr">
        <is>
          <t>落地买</t>
        </is>
      </c>
      <c r="G97" s="37" t="n"/>
      <c r="H97" s="37" t="n"/>
      <c r="I97" s="39" t="inlineStr"/>
      <c r="J97" s="36" t="n"/>
    </row>
    <row r="98">
      <c r="A98" s="36" t="inlineStr">
        <is>
          <t>住 · 清洁耗材</t>
        </is>
      </c>
      <c r="B98" s="37" t="inlineStr">
        <is>
          <t>T-7 出发前一周</t>
        </is>
      </c>
      <c r="C98" s="38" t="inlineStr">
        <is>
          <t>密封袋 大中小各一批</t>
        </is>
      </c>
      <c r="D98" s="37" t="inlineStr">
        <is>
          <t>未完成</t>
        </is>
      </c>
      <c r="E98" s="37" t="inlineStr">
        <is>
          <t>是</t>
        </is>
      </c>
      <c r="F98" s="37" t="inlineStr">
        <is>
          <t>国内带</t>
        </is>
      </c>
      <c r="G98" s="37" t="n"/>
      <c r="H98" s="37" t="n"/>
      <c r="I98" s="39" t="inlineStr">
        <is>
          <t>小红书 @frjinnfaerei「26fall行李进度50%」459赞，2026-09 自称「密封袋战神」，分装液体、收纳零碎全靠它</t>
        </is>
      </c>
      <c r="J98" s="36" t="n"/>
    </row>
    <row r="99">
      <c r="A99" s="36" t="inlineStr">
        <is>
          <t>住 · 清洁耗材</t>
        </is>
      </c>
      <c r="B99" s="37" t="inlineStr">
        <is>
          <t>T-7 出发前一周</t>
        </is>
      </c>
      <c r="C99" s="38" t="inlineStr">
        <is>
          <t>纸巾：大包 + 随身小包纸</t>
        </is>
      </c>
      <c r="D99" s="37" t="inlineStr">
        <is>
          <t>未完成</t>
        </is>
      </c>
      <c r="E99" s="37" t="inlineStr"/>
      <c r="F99" s="37" t="inlineStr">
        <is>
          <t>国内带</t>
        </is>
      </c>
      <c r="G99" s="37" t="n"/>
      <c r="H99" s="37" t="n"/>
      <c r="I99" s="39" t="inlineStr">
        <is>
          <t>小红书 @frjinnfaerei「26fall行李进度50%」459赞，2026-09 带了一大包加很多小包</t>
        </is>
      </c>
      <c r="J99" s="36" t="n"/>
    </row>
    <row r="100">
      <c r="A100" s="36" t="inlineStr">
        <is>
          <t>住 · 清洁耗材</t>
        </is>
      </c>
      <c r="B100" s="37" t="inlineStr">
        <is>
          <t>T-7 出发前一周</t>
        </is>
      </c>
      <c r="C100" s="38" t="inlineStr">
        <is>
          <t>湿厕纸</t>
        </is>
      </c>
      <c r="D100" s="37" t="inlineStr">
        <is>
          <t>未完成</t>
        </is>
      </c>
      <c r="E100" s="37" t="inlineStr"/>
      <c r="F100" s="37" t="inlineStr">
        <is>
          <t>国内带</t>
        </is>
      </c>
      <c r="G100" s="37" t="n"/>
      <c r="H100" s="37" t="n"/>
      <c r="I100" s="39" t="inlineStr"/>
      <c r="J100" s="36" t="n"/>
    </row>
    <row r="101">
      <c r="A101" s="36" t="inlineStr">
        <is>
          <t>住 · 清洁耗材</t>
        </is>
      </c>
      <c r="B101" s="37" t="inlineStr">
        <is>
          <t>D+0 落地 48h</t>
        </is>
      </c>
      <c r="C101" s="38" t="inlineStr">
        <is>
          <t>垃圾袋</t>
        </is>
      </c>
      <c r="D101" s="37" t="inlineStr">
        <is>
          <t>未完成</t>
        </is>
      </c>
      <c r="E101" s="37" t="inlineStr"/>
      <c r="F101" s="37" t="inlineStr">
        <is>
          <t>落地买</t>
        </is>
      </c>
      <c r="G101" s="37" t="n"/>
      <c r="H101" s="37" t="n"/>
      <c r="I101" s="39" t="inlineStr"/>
      <c r="J101" s="36" t="n"/>
    </row>
    <row r="102">
      <c r="A102" s="36" t="inlineStr">
        <is>
          <t>住 · 清洁耗材</t>
        </is>
      </c>
      <c r="B102" s="37" t="inlineStr">
        <is>
          <t>D+0 落地 48h</t>
        </is>
      </c>
      <c r="C102" s="38" t="inlineStr">
        <is>
          <t>洗衣液 / 洗衣凝珠</t>
        </is>
      </c>
      <c r="D102" s="37" t="inlineStr">
        <is>
          <t>未完成</t>
        </is>
      </c>
      <c r="E102" s="37" t="inlineStr"/>
      <c r="F102" s="37" t="inlineStr">
        <is>
          <t>落地买</t>
        </is>
      </c>
      <c r="G102" s="37" t="n"/>
      <c r="H102" s="37" t="n"/>
      <c r="I102" s="39" t="inlineStr"/>
      <c r="J102" s="36" t="n"/>
    </row>
    <row r="103">
      <c r="A103" s="36" t="inlineStr">
        <is>
          <t>住 · 清洁耗材</t>
        </is>
      </c>
      <c r="B103" s="37" t="inlineStr">
        <is>
          <t>D+0 落地 48h</t>
        </is>
      </c>
      <c r="C103" s="38" t="inlineStr">
        <is>
          <t>柔顺剂</t>
        </is>
      </c>
      <c r="D103" s="37" t="inlineStr">
        <is>
          <t>未完成</t>
        </is>
      </c>
      <c r="E103" s="37" t="inlineStr"/>
      <c r="F103" s="37" t="inlineStr">
        <is>
          <t>落地买</t>
        </is>
      </c>
      <c r="G103" s="37" t="n"/>
      <c r="H103" s="37" t="n"/>
      <c r="I103" s="39" t="inlineStr"/>
      <c r="J103" s="36" t="n"/>
    </row>
    <row r="104">
      <c r="A104" s="36" t="inlineStr">
        <is>
          <t>住 · 清洁耗材</t>
        </is>
      </c>
      <c r="B104" s="37" t="inlineStr">
        <is>
          <t>T-7 出发前一周</t>
        </is>
      </c>
      <c r="C104" s="38" t="inlineStr">
        <is>
          <t>内衣洗衣袋</t>
        </is>
      </c>
      <c r="D104" s="37" t="inlineStr">
        <is>
          <t>未完成</t>
        </is>
      </c>
      <c r="E104" s="37" t="inlineStr"/>
      <c r="F104" s="37" t="inlineStr">
        <is>
          <t>国内带</t>
        </is>
      </c>
      <c r="G104" s="37" t="n"/>
      <c r="H104" s="37" t="n"/>
      <c r="I104" s="39" t="inlineStr"/>
      <c r="J104" s="36" t="n"/>
    </row>
    <row r="105">
      <c r="A105" s="36" t="inlineStr">
        <is>
          <t>住 · 清洁耗材</t>
        </is>
      </c>
      <c r="B105" s="37" t="inlineStr">
        <is>
          <t>T-7 出发前一周</t>
        </is>
      </c>
      <c r="C105" s="38" t="inlineStr">
        <is>
          <t>消毒湿巾</t>
        </is>
      </c>
      <c r="D105" s="37" t="inlineStr">
        <is>
          <t>未完成</t>
        </is>
      </c>
      <c r="E105" s="37" t="inlineStr"/>
      <c r="F105" s="37" t="inlineStr">
        <is>
          <t>国内带</t>
        </is>
      </c>
      <c r="G105" s="37" t="n"/>
      <c r="H105" s="37" t="n"/>
      <c r="I105" s="39" t="inlineStr"/>
      <c r="J105" s="36" t="n"/>
    </row>
    <row r="106">
      <c r="A106" s="36" t="inlineStr">
        <is>
          <t>住 · 清洁耗材</t>
        </is>
      </c>
      <c r="B106" s="37" t="inlineStr">
        <is>
          <t>D+0 落地 48h</t>
        </is>
      </c>
      <c r="C106" s="38" t="inlineStr">
        <is>
          <t>抹布 / 百洁布</t>
        </is>
      </c>
      <c r="D106" s="37" t="inlineStr">
        <is>
          <t>未完成</t>
        </is>
      </c>
      <c r="E106" s="37" t="inlineStr"/>
      <c r="F106" s="37" t="inlineStr">
        <is>
          <t>落地买</t>
        </is>
      </c>
      <c r="G106" s="37" t="n"/>
      <c r="H106" s="37" t="n"/>
      <c r="I106" s="39" t="inlineStr"/>
      <c r="J106" s="36" t="n"/>
    </row>
    <row r="107">
      <c r="A107" s="36" t="inlineStr">
        <is>
          <t>住 · 清洁耗材</t>
        </is>
      </c>
      <c r="B107" s="37" t="inlineStr">
        <is>
          <t>D+0 落地 48h</t>
        </is>
      </c>
      <c r="C107" s="38" t="inlineStr">
        <is>
          <t>洁厕剂 + 马桶刷</t>
        </is>
      </c>
      <c r="D107" s="37" t="inlineStr">
        <is>
          <t>未完成</t>
        </is>
      </c>
      <c r="E107" s="37" t="inlineStr"/>
      <c r="F107" s="37" t="inlineStr">
        <is>
          <t>落地买</t>
        </is>
      </c>
      <c r="G107" s="37" t="n"/>
      <c r="H107" s="37" t="n"/>
      <c r="I107" s="39" t="inlineStr"/>
      <c r="J107" s="36" t="n"/>
    </row>
    <row r="108">
      <c r="A108" s="36" t="inlineStr">
        <is>
          <t>住 · 清洁耗材</t>
        </is>
      </c>
      <c r="B108" s="37" t="inlineStr">
        <is>
          <t>D+0 落地 48h</t>
        </is>
      </c>
      <c r="C108" s="38" t="inlineStr">
        <is>
          <t>扫把 + 拖把 + 簸箕</t>
        </is>
      </c>
      <c r="D108" s="37" t="inlineStr">
        <is>
          <t>未完成</t>
        </is>
      </c>
      <c r="E108" s="37" t="inlineStr"/>
      <c r="F108" s="37" t="inlineStr">
        <is>
          <t>落地买</t>
        </is>
      </c>
      <c r="G108" s="37" t="n"/>
      <c r="H108" s="37" t="n"/>
      <c r="I108" s="39" t="inlineStr"/>
      <c r="J108" s="36" t="n"/>
    </row>
    <row r="109">
      <c r="A109" s="36" t="inlineStr">
        <is>
          <t>住 · 清洁耗材</t>
        </is>
      </c>
      <c r="B109" s="37" t="inlineStr">
        <is>
          <t>D+0 落地 48h</t>
        </is>
      </c>
      <c r="C109" s="38" t="inlineStr">
        <is>
          <t>洗洁精</t>
        </is>
      </c>
      <c r="D109" s="37" t="inlineStr">
        <is>
          <t>未完成</t>
        </is>
      </c>
      <c r="E109" s="37" t="inlineStr"/>
      <c r="F109" s="37" t="inlineStr">
        <is>
          <t>落地买</t>
        </is>
      </c>
      <c r="G109" s="37" t="n"/>
      <c r="H109" s="37" t="n"/>
      <c r="I109" s="39" t="inlineStr"/>
      <c r="J109" s="36" t="n"/>
    </row>
    <row r="110">
      <c r="A110" s="36" t="inlineStr">
        <is>
          <t>住 · 清洁耗材</t>
        </is>
      </c>
      <c r="B110" s="37" t="inlineStr">
        <is>
          <t>D+0 落地 48h</t>
        </is>
      </c>
      <c r="C110" s="38" t="inlineStr">
        <is>
          <t>保鲜袋 / 保鲜膜</t>
        </is>
      </c>
      <c r="D110" s="37" t="inlineStr">
        <is>
          <t>未完成</t>
        </is>
      </c>
      <c r="E110" s="37" t="inlineStr"/>
      <c r="F110" s="37" t="inlineStr">
        <is>
          <t>落地买</t>
        </is>
      </c>
      <c r="G110" s="37" t="n"/>
      <c r="H110" s="37" t="n"/>
      <c r="I110" s="39" t="inlineStr"/>
      <c r="J110" s="36" t="n"/>
    </row>
    <row r="111">
      <c r="A111" s="36" t="inlineStr">
        <is>
          <t>住 · 清洁耗材</t>
        </is>
      </c>
      <c r="B111" s="37" t="inlineStr">
        <is>
          <t>D+0 落地 48h</t>
        </is>
      </c>
      <c r="C111" s="38" t="inlineStr">
        <is>
          <t>一次性手套</t>
        </is>
      </c>
      <c r="D111" s="37" t="inlineStr">
        <is>
          <t>未完成</t>
        </is>
      </c>
      <c r="E111" s="37" t="inlineStr"/>
      <c r="F111" s="37" t="inlineStr">
        <is>
          <t>落地买</t>
        </is>
      </c>
      <c r="G111" s="37" t="n"/>
      <c r="H111" s="37" t="n"/>
      <c r="I111" s="39" t="inlineStr"/>
      <c r="J111" s="36" t="n"/>
    </row>
    <row r="112">
      <c r="A112" s="36" t="inlineStr">
        <is>
          <t>住 · 清洁耗材</t>
        </is>
      </c>
      <c r="B112" s="37" t="inlineStr">
        <is>
          <t>D+0 落地 48h</t>
        </is>
      </c>
      <c r="C112" s="38" t="inlineStr">
        <is>
          <t>空气清新剂 / 除臭</t>
        </is>
      </c>
      <c r="D112" s="37" t="inlineStr">
        <is>
          <t>未完成</t>
        </is>
      </c>
      <c r="E112" s="37" t="inlineStr"/>
      <c r="F112" s="37" t="inlineStr">
        <is>
          <t>落地买</t>
        </is>
      </c>
      <c r="G112" s="37" t="n"/>
      <c r="H112" s="37" t="n"/>
      <c r="I112" s="39" t="inlineStr"/>
      <c r="J112" s="36" t="n"/>
    </row>
    <row r="113">
      <c r="A113" s="36" t="inlineStr">
        <is>
          <t>电子与充电</t>
        </is>
      </c>
      <c r="B113" s="37" t="inlineStr">
        <is>
          <t>T-7 出发前一周</t>
        </is>
      </c>
      <c r="C113" s="38" t="inlineStr">
        <is>
          <t>英标转换插头 ×3</t>
        </is>
      </c>
      <c r="D113" s="37" t="inlineStr">
        <is>
          <t>未完成</t>
        </is>
      </c>
      <c r="E113" s="37" t="inlineStr">
        <is>
          <t>是</t>
        </is>
      </c>
      <c r="F113" s="37" t="inlineStr">
        <is>
          <t>国内带</t>
        </is>
      </c>
      <c r="G113" s="40" t="n">
        <v>80</v>
      </c>
      <c r="H113" s="37" t="inlineStr">
        <is>
          <t>CNY</t>
        </is>
      </c>
      <c r="I113" s="39" t="inlineStr">
        <is>
          <t>NTU 宿舍和本地住处都是英标三方扁头。建议 1 个多口转换头 + 2 个普通款（小红书 @杂菜饭主理人「25fall新硕留子の开学清单」868赞，NTU 专属，2026-09）</t>
        </is>
      </c>
      <c r="J113" s="36" t="n"/>
    </row>
    <row r="114">
      <c r="A114" s="36" t="inlineStr">
        <is>
          <t>电子与充电</t>
        </is>
      </c>
      <c r="B114" s="37" t="inlineStr">
        <is>
          <t>T-7 出发前一周</t>
        </is>
      </c>
      <c r="C114" s="38" t="inlineStr">
        <is>
          <t>插排 ×2（小巧多孔、带 USB 口）</t>
        </is>
      </c>
      <c r="D114" s="37" t="inlineStr">
        <is>
          <t>未完成</t>
        </is>
      </c>
      <c r="E114" s="37" t="inlineStr">
        <is>
          <t>是</t>
        </is>
      </c>
      <c r="F114" s="37" t="inlineStr">
        <is>
          <t>国内带</t>
        </is>
      </c>
      <c r="G114" s="40" t="n">
        <v>100</v>
      </c>
      <c r="H114" s="37" t="inlineStr">
        <is>
          <t>CNY</t>
        </is>
      </c>
      <c r="I114" s="39" t="inlineStr">
        <is>
          <t>小红书 @杂菜饭主理人「25fall新硕留子の开学清单」868赞，NTU 专属，2026-09 和 小红书 @krsttt「NUS j人留子 行前准备」733赞，2026-09 都列了 2 个</t>
        </is>
      </c>
      <c r="J114" s="36" t="n"/>
    </row>
    <row r="115">
      <c r="A115" s="36" t="inlineStr">
        <is>
          <t>电子与充电</t>
        </is>
      </c>
      <c r="B115" s="37" t="inlineStr">
        <is>
          <t>T-7 出发前一周</t>
        </is>
      </c>
      <c r="C115" s="38" t="inlineStr">
        <is>
          <t>笔记本电脑 + 充电线 ×2 根</t>
        </is>
      </c>
      <c r="D115" s="37" t="inlineStr">
        <is>
          <t>未完成</t>
        </is>
      </c>
      <c r="E115" s="37" t="inlineStr">
        <is>
          <t>是</t>
        </is>
      </c>
      <c r="F115" s="37" t="inlineStr">
        <is>
          <t>国内带</t>
        </is>
      </c>
      <c r="G115" s="37" t="n"/>
      <c r="H115" s="37" t="n"/>
      <c r="I115" s="39" t="inlineStr"/>
      <c r="J115" s="36" t="n"/>
    </row>
    <row r="116">
      <c r="A116" s="36" t="inlineStr">
        <is>
          <t>电子与充电</t>
        </is>
      </c>
      <c r="B116" s="37" t="inlineStr">
        <is>
          <t>D-DAY 出发当天</t>
        </is>
      </c>
      <c r="C116" s="38" t="inlineStr">
        <is>
          <t>手机</t>
        </is>
      </c>
      <c r="D116" s="37" t="inlineStr">
        <is>
          <t>未完成</t>
        </is>
      </c>
      <c r="E116" s="37" t="inlineStr">
        <is>
          <t>是</t>
        </is>
      </c>
      <c r="F116" s="37" t="inlineStr">
        <is>
          <t>国内带</t>
        </is>
      </c>
      <c r="G116" s="37" t="n"/>
      <c r="H116" s="37" t="n"/>
      <c r="I116" s="39" t="inlineStr"/>
      <c r="J116" s="36" t="n"/>
    </row>
    <row r="117">
      <c r="A117" s="36" t="inlineStr">
        <is>
          <t>电子与充电</t>
        </is>
      </c>
      <c r="B117" s="37" t="inlineStr">
        <is>
          <t>T-7 出发前一周</t>
        </is>
      </c>
      <c r="C117" s="38" t="inlineStr">
        <is>
          <t>平板 + 触控笔 / 键盘</t>
        </is>
      </c>
      <c r="D117" s="37" t="inlineStr">
        <is>
          <t>未完成</t>
        </is>
      </c>
      <c r="E117" s="37" t="inlineStr"/>
      <c r="F117" s="37" t="inlineStr">
        <is>
          <t>国内带</t>
        </is>
      </c>
      <c r="G117" s="37" t="n"/>
      <c r="H117" s="37" t="n"/>
      <c r="I117" s="39" t="inlineStr"/>
      <c r="J117" s="36" t="n"/>
    </row>
    <row r="118">
      <c r="A118" s="36" t="inlineStr">
        <is>
          <t>电子与充电</t>
        </is>
      </c>
      <c r="B118" s="37" t="inlineStr">
        <is>
          <t>T-7 出发前一周</t>
        </is>
      </c>
      <c r="C118" s="38" t="inlineStr">
        <is>
          <t>充电宝 ×2，单个 ≤20000mAh</t>
        </is>
      </c>
      <c r="D118" s="37" t="inlineStr">
        <is>
          <t>未完成</t>
        </is>
      </c>
      <c r="E118" s="37" t="inlineStr">
        <is>
          <t>是</t>
        </is>
      </c>
      <c r="F118" s="37" t="inlineStr">
        <is>
          <t>国内带</t>
        </is>
      </c>
      <c r="G118" s="37" t="n"/>
      <c r="H118" s="37" t="n"/>
      <c r="I118" s="39" t="inlineStr">
        <is>
          <t>必须有 3C 认证，只能随身不能托运（小红书 @明天会下雨吗？「新加坡留学之什么真的该带」576赞，2026-09）</t>
        </is>
      </c>
      <c r="J118" s="36" t="n"/>
    </row>
    <row r="119">
      <c r="A119" s="36" t="inlineStr">
        <is>
          <t>电子与充电</t>
        </is>
      </c>
      <c r="B119" s="37" t="inlineStr">
        <is>
          <t>T-7 出发前一周</t>
        </is>
      </c>
      <c r="C119" s="38" t="inlineStr">
        <is>
          <t>全能充 / 多口充电头</t>
        </is>
      </c>
      <c r="D119" s="37" t="inlineStr">
        <is>
          <t>未完成</t>
        </is>
      </c>
      <c r="E119" s="37" t="inlineStr"/>
      <c r="F119" s="37" t="inlineStr">
        <is>
          <t>国内带</t>
        </is>
      </c>
      <c r="G119" s="37" t="n"/>
      <c r="H119" s="37" t="n"/>
      <c r="I119" s="39" t="inlineStr"/>
      <c r="J119" s="36" t="n"/>
    </row>
    <row r="120">
      <c r="A120" s="36" t="inlineStr">
        <is>
          <t>电子与充电</t>
        </is>
      </c>
      <c r="B120" s="37" t="inlineStr">
        <is>
          <t>T-7 出发前一周</t>
        </is>
      </c>
      <c r="C120" s="38" t="inlineStr">
        <is>
          <t>各设备充电线：手机 L 口 / C 口、手表、相机、剃须刀、电动牙刷</t>
        </is>
      </c>
      <c r="D120" s="37" t="inlineStr">
        <is>
          <t>未完成</t>
        </is>
      </c>
      <c r="E120" s="37" t="inlineStr">
        <is>
          <t>是</t>
        </is>
      </c>
      <c r="F120" s="37" t="inlineStr">
        <is>
          <t>国内带</t>
        </is>
      </c>
      <c r="G120" s="37" t="n"/>
      <c r="H120" s="37" t="n"/>
      <c r="I120" s="39" t="inlineStr">
        <is>
          <t>小红书 @krsttt「NUS j人留子 行前准备」733赞，2026-09 逐个列了，容易漏</t>
        </is>
      </c>
      <c r="J120" s="36" t="n"/>
    </row>
    <row r="121">
      <c r="A121" s="36" t="inlineStr">
        <is>
          <t>电子与充电</t>
        </is>
      </c>
      <c r="B121" s="37" t="inlineStr">
        <is>
          <t>T-7 出发前一周</t>
        </is>
      </c>
      <c r="C121" s="38" t="inlineStr">
        <is>
          <t>U 盘 / 移动硬盘 128G</t>
        </is>
      </c>
      <c r="D121" s="37" t="inlineStr">
        <is>
          <t>未完成</t>
        </is>
      </c>
      <c r="E121" s="37" t="inlineStr"/>
      <c r="F121" s="37" t="inlineStr">
        <is>
          <t>国内带</t>
        </is>
      </c>
      <c r="G121" s="37" t="n"/>
      <c r="H121" s="37" t="n"/>
      <c r="I121" s="39" t="inlineStr"/>
      <c r="J121" s="36" t="n"/>
    </row>
    <row r="122">
      <c r="A122" s="36" t="inlineStr">
        <is>
          <t>电子与充电</t>
        </is>
      </c>
      <c r="B122" s="37" t="inlineStr">
        <is>
          <t>T-7 出发前一周</t>
        </is>
      </c>
      <c r="C122" s="38" t="inlineStr">
        <is>
          <t>取卡针</t>
        </is>
      </c>
      <c r="D122" s="37" t="inlineStr">
        <is>
          <t>未完成</t>
        </is>
      </c>
      <c r="E122" s="37" t="inlineStr">
        <is>
          <t>是</t>
        </is>
      </c>
      <c r="F122" s="37" t="inlineStr">
        <is>
          <t>国内带</t>
        </is>
      </c>
      <c r="G122" s="37" t="n"/>
      <c r="H122" s="37" t="n"/>
      <c r="I122" s="39" t="inlineStr">
        <is>
          <t>换电话卡时要用，小红书 @krsttt「NUS j人留子 行前准备」733赞，2026-09、小红书 @StayGold「落地樟宜T3买Singtel卡」694赞，2026-09 都专门列了</t>
        </is>
      </c>
      <c r="J122" s="36" t="n"/>
    </row>
    <row r="123">
      <c r="A123" s="36" t="inlineStr">
        <is>
          <t>电子与充电</t>
        </is>
      </c>
      <c r="B123" s="37" t="inlineStr">
        <is>
          <t>T-7 出发前一周</t>
        </is>
      </c>
      <c r="C123" s="38" t="inlineStr">
        <is>
          <t>耳机</t>
        </is>
      </c>
      <c r="D123" s="37" t="inlineStr">
        <is>
          <t>未完成</t>
        </is>
      </c>
      <c r="E123" s="37" t="inlineStr"/>
      <c r="F123" s="37" t="inlineStr">
        <is>
          <t>国内带</t>
        </is>
      </c>
      <c r="G123" s="37" t="n"/>
      <c r="H123" s="37" t="n"/>
      <c r="I123" s="39" t="inlineStr"/>
      <c r="J123" s="36" t="n"/>
    </row>
    <row r="124">
      <c r="A124" s="36" t="inlineStr">
        <is>
          <t>电子与充电</t>
        </is>
      </c>
      <c r="B124" s="37" t="inlineStr">
        <is>
          <t>T-7 出发前一周</t>
        </is>
      </c>
      <c r="C124" s="38" t="inlineStr">
        <is>
          <t>相机 + 备用电池 + 存储卡</t>
        </is>
      </c>
      <c r="D124" s="37" t="inlineStr">
        <is>
          <t>未完成</t>
        </is>
      </c>
      <c r="E124" s="37" t="inlineStr"/>
      <c r="F124" s="37" t="inlineStr">
        <is>
          <t>国内带</t>
        </is>
      </c>
      <c r="G124" s="37" t="n"/>
      <c r="H124" s="37" t="n"/>
      <c r="I124" s="39" t="inlineStr"/>
      <c r="J124" s="36" t="n"/>
    </row>
    <row r="125">
      <c r="A125" s="36" t="inlineStr">
        <is>
          <t>电子与充电</t>
        </is>
      </c>
      <c r="B125" s="37" t="inlineStr">
        <is>
          <t>T-7 出发前一周</t>
        </is>
      </c>
      <c r="C125" s="38" t="inlineStr">
        <is>
          <t>吹风机</t>
        </is>
      </c>
      <c r="D125" s="37" t="inlineStr">
        <is>
          <t>未完成</t>
        </is>
      </c>
      <c r="E125" s="37" t="inlineStr"/>
      <c r="F125" s="37" t="inlineStr">
        <is>
          <t>国内带</t>
        </is>
      </c>
      <c r="G125" s="37" t="n"/>
      <c r="H125" s="37" t="n"/>
      <c r="I125" s="39" t="inlineStr">
        <is>
          <t>小红书 @krsttt「NUS j人留子 行前准备」733赞，2026-09 带了；也可落地买，注意 230V</t>
        </is>
      </c>
      <c r="J125" s="36" t="n"/>
    </row>
    <row r="126">
      <c r="A126" s="36" t="inlineStr">
        <is>
          <t>电子与充电</t>
        </is>
      </c>
      <c r="B126" s="37" t="inlineStr">
        <is>
          <t>T-7 出发前一周</t>
        </is>
      </c>
      <c r="C126" s="38" t="inlineStr">
        <is>
          <t>电动牙刷 + 备用刷头</t>
        </is>
      </c>
      <c r="D126" s="37" t="inlineStr">
        <is>
          <t>未完成</t>
        </is>
      </c>
      <c r="E126" s="37" t="inlineStr"/>
      <c r="F126" s="37" t="inlineStr">
        <is>
          <t>国内带</t>
        </is>
      </c>
      <c r="G126" s="37" t="n"/>
      <c r="H126" s="37" t="n"/>
      <c r="I126" s="39" t="inlineStr"/>
      <c r="J126" s="36" t="n"/>
    </row>
    <row r="127">
      <c r="A127" s="36" t="inlineStr">
        <is>
          <t>电子与充电</t>
        </is>
      </c>
      <c r="B127" s="37" t="inlineStr">
        <is>
          <t>T-7 出发前一周</t>
        </is>
      </c>
      <c r="C127" s="38" t="inlineStr">
        <is>
          <t>剃须刀 / 脱毛刀</t>
        </is>
      </c>
      <c r="D127" s="37" t="inlineStr">
        <is>
          <t>未完成</t>
        </is>
      </c>
      <c r="E127" s="37" t="inlineStr"/>
      <c r="F127" s="37" t="inlineStr">
        <is>
          <t>国内带</t>
        </is>
      </c>
      <c r="G127" s="37" t="n"/>
      <c r="H127" s="37" t="n"/>
      <c r="I127" s="39" t="inlineStr"/>
      <c r="J127" s="36" t="n"/>
    </row>
    <row r="128">
      <c r="A128" s="36" t="inlineStr">
        <is>
          <t>电子与充电</t>
        </is>
      </c>
      <c r="B128" s="37" t="inlineStr">
        <is>
          <t>T-7 出发前一周</t>
        </is>
      </c>
      <c r="C128" s="38" t="inlineStr">
        <is>
          <t>卷发棒 / 直板夹（可选）</t>
        </is>
      </c>
      <c r="D128" s="37" t="inlineStr">
        <is>
          <t>未完成</t>
        </is>
      </c>
      <c r="E128" s="37" t="inlineStr"/>
      <c r="F128" s="37" t="inlineStr">
        <is>
          <t>国内带</t>
        </is>
      </c>
      <c r="G128" s="37" t="n"/>
      <c r="H128" s="37" t="n"/>
      <c r="I128" s="39" t="inlineStr">
        <is>
          <t>小红书 @明天会下雨吗？「新加坡留学之什么真的该带」576赞，2026-09 列了</t>
        </is>
      </c>
      <c r="J128" s="36" t="n"/>
    </row>
    <row r="129">
      <c r="A129" s="36" t="inlineStr">
        <is>
          <t>电子与充电</t>
        </is>
      </c>
      <c r="B129" s="37" t="inlineStr">
        <is>
          <t>T-7 出发前一周</t>
        </is>
      </c>
      <c r="C129" s="38" t="inlineStr">
        <is>
          <t>计算器</t>
        </is>
      </c>
      <c r="D129" s="37" t="inlineStr">
        <is>
          <t>未完成</t>
        </is>
      </c>
      <c r="E129" s="37" t="inlineStr">
        <is>
          <t>是</t>
        </is>
      </c>
      <c r="F129" s="37" t="inlineStr">
        <is>
          <t>国内带</t>
        </is>
      </c>
      <c r="G129" s="37" t="n"/>
      <c r="H129" s="37" t="n"/>
      <c r="I129" s="39" t="inlineStr">
        <is>
          <t>小红书 @krsttt「NUS j人留子 行前准备」733赞，2026-09 标了「重要」；部分考试可能限定型号，自己专业的要求待核实</t>
        </is>
      </c>
      <c r="J129" s="36" t="n"/>
    </row>
    <row r="130">
      <c r="A130" s="36" t="inlineStr">
        <is>
          <t>电子与充电</t>
        </is>
      </c>
      <c r="B130" s="37" t="inlineStr">
        <is>
          <t>T-7 出发前一周</t>
        </is>
      </c>
      <c r="C130" s="38" t="inlineStr">
        <is>
          <t>电脑支架</t>
        </is>
      </c>
      <c r="D130" s="37" t="inlineStr">
        <is>
          <t>未完成</t>
        </is>
      </c>
      <c r="E130" s="37" t="inlineStr"/>
      <c r="F130" s="37" t="inlineStr">
        <is>
          <t>国内带</t>
        </is>
      </c>
      <c r="G130" s="37" t="n"/>
      <c r="H130" s="37" t="n"/>
      <c r="I130" s="39" t="inlineStr"/>
      <c r="J130" s="36" t="n"/>
    </row>
    <row r="131">
      <c r="A131" s="36" t="inlineStr">
        <is>
          <t>电子与充电</t>
        </is>
      </c>
      <c r="B131" s="37" t="inlineStr">
        <is>
          <t>T-7 出发前一周</t>
        </is>
      </c>
      <c r="C131" s="38" t="inlineStr">
        <is>
          <t>鼠标 + 鼠标垫</t>
        </is>
      </c>
      <c r="D131" s="37" t="inlineStr">
        <is>
          <t>未完成</t>
        </is>
      </c>
      <c r="E131" s="37" t="inlineStr"/>
      <c r="F131" s="37" t="inlineStr">
        <is>
          <t>国内带</t>
        </is>
      </c>
      <c r="G131" s="37" t="n"/>
      <c r="H131" s="37" t="n"/>
      <c r="I131" s="39" t="inlineStr"/>
      <c r="J131" s="36" t="n"/>
    </row>
    <row r="132">
      <c r="A132" s="36" t="inlineStr">
        <is>
          <t>电子与充电</t>
        </is>
      </c>
      <c r="B132" s="37" t="inlineStr">
        <is>
          <t>T-7 出发前一周</t>
        </is>
      </c>
      <c r="C132" s="38" t="inlineStr">
        <is>
          <t>5 号 / 7 号电池若干</t>
        </is>
      </c>
      <c r="D132" s="37" t="inlineStr">
        <is>
          <t>未完成</t>
        </is>
      </c>
      <c r="E132" s="37" t="inlineStr"/>
      <c r="F132" s="37" t="inlineStr">
        <is>
          <t>国内带</t>
        </is>
      </c>
      <c r="G132" s="37" t="n"/>
      <c r="H132" s="37" t="n"/>
      <c r="I132" s="39" t="inlineStr">
        <is>
          <t>小红书 @明天会下雨吗？「新加坡留学之什么真的该带」576赞，2026-09：带点吧万一呢</t>
        </is>
      </c>
      <c r="J132" s="36" t="n"/>
    </row>
    <row r="133">
      <c r="A133" s="36" t="inlineStr">
        <is>
          <t>电子与充电</t>
        </is>
      </c>
      <c r="B133" s="37" t="inlineStr">
        <is>
          <t>T-7 出发前一周</t>
        </is>
      </c>
      <c r="C133" s="38" t="inlineStr">
        <is>
          <t>手机壳 + 钢化膜备用</t>
        </is>
      </c>
      <c r="D133" s="37" t="inlineStr">
        <is>
          <t>未完成</t>
        </is>
      </c>
      <c r="E133" s="37" t="inlineStr"/>
      <c r="F133" s="37" t="inlineStr">
        <is>
          <t>国内带</t>
        </is>
      </c>
      <c r="G133" s="37" t="n"/>
      <c r="H133" s="37" t="n"/>
      <c r="I133" s="39" t="inlineStr"/>
      <c r="J133" s="36" t="n"/>
    </row>
    <row r="134">
      <c r="A134" s="36" t="inlineStr">
        <is>
          <t>电子与充电</t>
        </is>
      </c>
      <c r="B134" s="37" t="inlineStr">
        <is>
          <t>T-7 出发前一周</t>
        </is>
      </c>
      <c r="C134" s="38" t="inlineStr">
        <is>
          <t>电脑内胆包 / 便携包</t>
        </is>
      </c>
      <c r="D134" s="37" t="inlineStr">
        <is>
          <t>未完成</t>
        </is>
      </c>
      <c r="E134" s="37" t="inlineStr"/>
      <c r="F134" s="37" t="inlineStr">
        <is>
          <t>国内带</t>
        </is>
      </c>
      <c r="G134" s="37" t="n"/>
      <c r="H134" s="37" t="n"/>
      <c r="I134" s="39" t="inlineStr"/>
      <c r="J134" s="36" t="n"/>
    </row>
    <row r="135">
      <c r="A135" s="36" t="inlineStr">
        <is>
          <t>电子与充电</t>
        </is>
      </c>
      <c r="B135" s="37" t="inlineStr">
        <is>
          <t>T-30 一个月前</t>
        </is>
      </c>
      <c r="C135" s="38" t="inlineStr">
        <is>
          <t>电子设备保修卡收好</t>
        </is>
      </c>
      <c r="D135" s="37" t="inlineStr">
        <is>
          <t>未完成</t>
        </is>
      </c>
      <c r="E135" s="37" t="inlineStr"/>
      <c r="F135" s="37" t="inlineStr"/>
      <c r="G135" s="37" t="n"/>
      <c r="H135" s="37" t="n"/>
      <c r="I135" s="39" t="inlineStr">
        <is>
          <t>能在国内修的出发前先修</t>
        </is>
      </c>
      <c r="J135" s="36" t="n"/>
    </row>
    <row r="136">
      <c r="A136" s="36" t="inlineStr">
        <is>
          <t>洗漱护肤</t>
        </is>
      </c>
      <c r="B136" s="37" t="inlineStr">
        <is>
          <t>T-7 出发前一周</t>
        </is>
      </c>
      <c r="C136" s="38" t="inlineStr">
        <is>
          <t>分装瓶一套</t>
        </is>
      </c>
      <c r="D136" s="37" t="inlineStr">
        <is>
          <t>未完成</t>
        </is>
      </c>
      <c r="E136" s="37" t="inlineStr">
        <is>
          <t>是</t>
        </is>
      </c>
      <c r="F136" s="37" t="inlineStr">
        <is>
          <t>国内带</t>
        </is>
      </c>
      <c r="G136" s="37" t="n"/>
      <c r="H136" s="37" t="n"/>
      <c r="I136" s="39" t="inlineStr">
        <is>
          <t>随身液体单瓶 ≤100ml；托运的分装瓶用密封袋套一下防漏</t>
        </is>
      </c>
      <c r="J136" s="36" t="n"/>
    </row>
    <row r="137">
      <c r="A137" s="36" t="inlineStr">
        <is>
          <t>洗漱护肤</t>
        </is>
      </c>
      <c r="B137" s="37" t="inlineStr">
        <is>
          <t>T-7 出发前一周</t>
        </is>
      </c>
      <c r="C137" s="38" t="inlineStr">
        <is>
          <t>洗面奶 / 洁面皂</t>
        </is>
      </c>
      <c r="D137" s="37" t="inlineStr">
        <is>
          <t>未完成</t>
        </is>
      </c>
      <c r="E137" s="37" t="inlineStr"/>
      <c r="F137" s="37" t="inlineStr">
        <is>
          <t>国内带</t>
        </is>
      </c>
      <c r="G137" s="37" t="n"/>
      <c r="H137" s="37" t="n"/>
      <c r="I137" s="39" t="inlineStr"/>
      <c r="J137" s="36" t="n"/>
    </row>
    <row r="138">
      <c r="A138" s="36" t="inlineStr">
        <is>
          <t>洗漱护肤</t>
        </is>
      </c>
      <c r="B138" s="37" t="inlineStr">
        <is>
          <t>T-7 出发前一周</t>
        </is>
      </c>
      <c r="C138" s="38" t="inlineStr">
        <is>
          <t>洗脸巾</t>
        </is>
      </c>
      <c r="D138" s="37" t="inlineStr">
        <is>
          <t>未完成</t>
        </is>
      </c>
      <c r="E138" s="37" t="inlineStr"/>
      <c r="F138" s="37" t="inlineStr">
        <is>
          <t>国内带</t>
        </is>
      </c>
      <c r="G138" s="37" t="n"/>
      <c r="H138" s="37" t="n"/>
      <c r="I138" s="39" t="inlineStr"/>
      <c r="J138" s="36" t="n"/>
    </row>
    <row r="139">
      <c r="A139" s="36" t="inlineStr">
        <is>
          <t>洗漱护肤</t>
        </is>
      </c>
      <c r="B139" s="37" t="inlineStr">
        <is>
          <t>T-7 出发前一周</t>
        </is>
      </c>
      <c r="C139" s="38" t="inlineStr">
        <is>
          <t>卸妆水 + 眼唇卸</t>
        </is>
      </c>
      <c r="D139" s="37" t="inlineStr">
        <is>
          <t>未完成</t>
        </is>
      </c>
      <c r="E139" s="37" t="inlineStr"/>
      <c r="F139" s="37" t="inlineStr">
        <is>
          <t>国内带</t>
        </is>
      </c>
      <c r="G139" s="37" t="n"/>
      <c r="H139" s="37" t="n"/>
      <c r="I139" s="39" t="inlineStr"/>
      <c r="J139" s="36" t="n"/>
    </row>
    <row r="140">
      <c r="A140" s="36" t="inlineStr">
        <is>
          <t>洗漱护肤</t>
        </is>
      </c>
      <c r="B140" s="37" t="inlineStr">
        <is>
          <t>T-7 出发前一周</t>
        </is>
      </c>
      <c r="C140" s="38" t="inlineStr">
        <is>
          <t>卸妆棉 / 湿敷棉</t>
        </is>
      </c>
      <c r="D140" s="37" t="inlineStr">
        <is>
          <t>未完成</t>
        </is>
      </c>
      <c r="E140" s="37" t="inlineStr"/>
      <c r="F140" s="37" t="inlineStr">
        <is>
          <t>国内带</t>
        </is>
      </c>
      <c r="G140" s="37" t="n"/>
      <c r="H140" s="37" t="n"/>
      <c r="I140" s="39" t="inlineStr"/>
      <c r="J140" s="36" t="n"/>
    </row>
    <row r="141">
      <c r="A141" s="36" t="inlineStr">
        <is>
          <t>洗漱护肤</t>
        </is>
      </c>
      <c r="B141" s="37" t="inlineStr">
        <is>
          <t>T-7 出发前一周</t>
        </is>
      </c>
      <c r="C141" s="38" t="inlineStr">
        <is>
          <t>水乳 / 精华（没用完的分装带走）</t>
        </is>
      </c>
      <c r="D141" s="37" t="inlineStr">
        <is>
          <t>未完成</t>
        </is>
      </c>
      <c r="E141" s="37" t="inlineStr"/>
      <c r="F141" s="37" t="inlineStr">
        <is>
          <t>国内带</t>
        </is>
      </c>
      <c r="G141" s="37" t="n"/>
      <c r="H141" s="37" t="n"/>
      <c r="I141" s="39" t="inlineStr">
        <is>
          <t>小红书 @frjinnfaerei「26fall行李进度50%」459赞，2026-09 的做法</t>
        </is>
      </c>
      <c r="J141" s="36" t="n"/>
    </row>
    <row r="142">
      <c r="A142" s="36" t="inlineStr">
        <is>
          <t>洗漱护肤</t>
        </is>
      </c>
      <c r="B142" s="37" t="inlineStr">
        <is>
          <t>T-7 出发前一周</t>
        </is>
      </c>
      <c r="C142" s="38" t="inlineStr">
        <is>
          <t>面霜、眼霜</t>
        </is>
      </c>
      <c r="D142" s="37" t="inlineStr">
        <is>
          <t>未完成</t>
        </is>
      </c>
      <c r="E142" s="37" t="inlineStr"/>
      <c r="F142" s="37" t="inlineStr">
        <is>
          <t>国内带</t>
        </is>
      </c>
      <c r="G142" s="37" t="n"/>
      <c r="H142" s="37" t="n"/>
      <c r="I142" s="39" t="inlineStr"/>
      <c r="J142" s="36" t="n"/>
    </row>
    <row r="143">
      <c r="A143" s="36" t="inlineStr">
        <is>
          <t>洗漱护肤</t>
        </is>
      </c>
      <c r="B143" s="37" t="inlineStr">
        <is>
          <t>T-7 出发前一周</t>
        </is>
      </c>
      <c r="C143" s="38" t="inlineStr">
        <is>
          <t>面膜</t>
        </is>
      </c>
      <c r="D143" s="37" t="inlineStr">
        <is>
          <t>未完成</t>
        </is>
      </c>
      <c r="E143" s="37" t="inlineStr"/>
      <c r="F143" s="37" t="inlineStr">
        <is>
          <t>国内带</t>
        </is>
      </c>
      <c r="G143" s="37" t="n"/>
      <c r="H143" s="37" t="n"/>
      <c r="I143" s="39" t="inlineStr">
        <is>
          <t>小红书 @krsttt「NUS j人留子 行前准备」733赞，2026-09 带了 20 片</t>
        </is>
      </c>
      <c r="J143" s="36" t="n"/>
    </row>
    <row r="144">
      <c r="A144" s="36" t="inlineStr">
        <is>
          <t>洗漱护肤</t>
        </is>
      </c>
      <c r="B144" s="37" t="inlineStr">
        <is>
          <t>T-7 出发前一周</t>
        </is>
      </c>
      <c r="C144" s="38" t="inlineStr">
        <is>
          <t>泥膜 / 清洁面膜小样</t>
        </is>
      </c>
      <c r="D144" s="37" t="inlineStr">
        <is>
          <t>未完成</t>
        </is>
      </c>
      <c r="E144" s="37" t="inlineStr"/>
      <c r="F144" s="37" t="inlineStr">
        <is>
          <t>国内带</t>
        </is>
      </c>
      <c r="G144" s="37" t="n"/>
      <c r="H144" s="37" t="n"/>
      <c r="I144" s="39" t="inlineStr"/>
      <c r="J144" s="36" t="n"/>
    </row>
    <row r="145">
      <c r="A145" s="36" t="inlineStr">
        <is>
          <t>洗漱护肤</t>
        </is>
      </c>
      <c r="B145" s="37" t="inlineStr">
        <is>
          <t>T-7 出发前一周</t>
        </is>
      </c>
      <c r="C145" s="38" t="inlineStr">
        <is>
          <t>防晒霜 SPF50 大管 ×1 + 小样若干</t>
        </is>
      </c>
      <c r="D145" s="37" t="inlineStr">
        <is>
          <t>未完成</t>
        </is>
      </c>
      <c r="E145" s="37" t="inlineStr">
        <is>
          <t>是</t>
        </is>
      </c>
      <c r="F145" s="37" t="inlineStr">
        <is>
          <t>国内带</t>
        </is>
      </c>
      <c r="G145" s="37" t="n"/>
      <c r="H145" s="37" t="n"/>
      <c r="I145" s="39" t="inlineStr">
        <is>
          <t>新加坡紫外线强，这个是刚需</t>
        </is>
      </c>
      <c r="J145" s="36" t="n"/>
    </row>
    <row r="146">
      <c r="A146" s="36" t="inlineStr">
        <is>
          <t>洗漱护肤</t>
        </is>
      </c>
      <c r="B146" s="37" t="inlineStr">
        <is>
          <t>T-7 出发前一周</t>
        </is>
      </c>
      <c r="C146" s="38" t="inlineStr">
        <is>
          <t>防晒喷雾</t>
        </is>
      </c>
      <c r="D146" s="37" t="inlineStr">
        <is>
          <t>未完成</t>
        </is>
      </c>
      <c r="E146" s="37" t="inlineStr"/>
      <c r="F146" s="37" t="inlineStr">
        <is>
          <t>国内带</t>
        </is>
      </c>
      <c r="G146" s="37" t="n"/>
      <c r="H146" s="37" t="n"/>
      <c r="I146" s="39" t="inlineStr"/>
      <c r="J146" s="36" t="n"/>
    </row>
    <row r="147">
      <c r="A147" s="36" t="inlineStr">
        <is>
          <t>洗漱护肤</t>
        </is>
      </c>
      <c r="B147" s="37" t="inlineStr">
        <is>
          <t>T-7 出发前一周</t>
        </is>
      </c>
      <c r="C147" s="38" t="inlineStr">
        <is>
          <t>防晒口罩 / 冰袖</t>
        </is>
      </c>
      <c r="D147" s="37" t="inlineStr">
        <is>
          <t>未完成</t>
        </is>
      </c>
      <c r="E147" s="37" t="inlineStr"/>
      <c r="F147" s="37" t="inlineStr">
        <is>
          <t>国内带</t>
        </is>
      </c>
      <c r="G147" s="37" t="n"/>
      <c r="H147" s="37" t="n"/>
      <c r="I147" s="39" t="inlineStr"/>
      <c r="J147" s="36" t="n"/>
    </row>
    <row r="148">
      <c r="A148" s="36" t="inlineStr">
        <is>
          <t>洗漱护肤</t>
        </is>
      </c>
      <c r="B148" s="37" t="inlineStr">
        <is>
          <t>T-7 出发前一周</t>
        </is>
      </c>
      <c r="C148" s="38" t="inlineStr">
        <is>
          <t>唇膏</t>
        </is>
      </c>
      <c r="D148" s="37" t="inlineStr">
        <is>
          <t>未完成</t>
        </is>
      </c>
      <c r="E148" s="37" t="inlineStr"/>
      <c r="F148" s="37" t="inlineStr">
        <is>
          <t>国内带</t>
        </is>
      </c>
      <c r="G148" s="37" t="n"/>
      <c r="H148" s="37" t="n"/>
      <c r="I148" s="39" t="inlineStr"/>
      <c r="J148" s="36" t="n"/>
    </row>
    <row r="149">
      <c r="A149" s="36" t="inlineStr">
        <is>
          <t>洗漱护肤</t>
        </is>
      </c>
      <c r="B149" s="37" t="inlineStr">
        <is>
          <t>T-7 出发前一周</t>
        </is>
      </c>
      <c r="C149" s="38" t="inlineStr">
        <is>
          <t>痘痘贴 + 祛痘药膏</t>
        </is>
      </c>
      <c r="D149" s="37" t="inlineStr">
        <is>
          <t>未完成</t>
        </is>
      </c>
      <c r="E149" s="37" t="inlineStr"/>
      <c r="F149" s="37" t="inlineStr">
        <is>
          <t>国内带</t>
        </is>
      </c>
      <c r="G149" s="37" t="n"/>
      <c r="H149" s="37" t="n"/>
      <c r="I149" s="39" t="inlineStr"/>
      <c r="J149" s="36" t="n"/>
    </row>
    <row r="150">
      <c r="A150" s="36" t="inlineStr">
        <is>
          <t>洗漱护肤</t>
        </is>
      </c>
      <c r="B150" s="37" t="inlineStr">
        <is>
          <t>T-7 出发前一周</t>
        </is>
      </c>
      <c r="C150" s="38" t="inlineStr">
        <is>
          <t>香水（分装）</t>
        </is>
      </c>
      <c r="D150" s="37" t="inlineStr">
        <is>
          <t>未完成</t>
        </is>
      </c>
      <c r="E150" s="37" t="inlineStr"/>
      <c r="F150" s="37" t="inlineStr">
        <is>
          <t>国内带</t>
        </is>
      </c>
      <c r="G150" s="37" t="n"/>
      <c r="H150" s="37" t="n"/>
      <c r="I150" s="39" t="inlineStr"/>
      <c r="J150" s="36" t="n"/>
    </row>
    <row r="151">
      <c r="A151" s="36" t="inlineStr">
        <is>
          <t>洗漱护肤</t>
        </is>
      </c>
      <c r="B151" s="37" t="inlineStr">
        <is>
          <t>T-7 出发前一周</t>
        </is>
      </c>
      <c r="C151" s="38" t="inlineStr">
        <is>
          <t>身体乳 / 润肤露</t>
        </is>
      </c>
      <c r="D151" s="37" t="inlineStr">
        <is>
          <t>未完成</t>
        </is>
      </c>
      <c r="E151" s="37" t="inlineStr"/>
      <c r="F151" s="37" t="inlineStr">
        <is>
          <t>国内带</t>
        </is>
      </c>
      <c r="G151" s="37" t="n"/>
      <c r="H151" s="37" t="n"/>
      <c r="I151" s="39" t="inlineStr"/>
      <c r="J151" s="36" t="n"/>
    </row>
    <row r="152">
      <c r="A152" s="36" t="inlineStr">
        <is>
          <t>洗漱护肤</t>
        </is>
      </c>
      <c r="B152" s="37" t="inlineStr">
        <is>
          <t>T-7 出发前一周</t>
        </is>
      </c>
      <c r="C152" s="38" t="inlineStr">
        <is>
          <t>护手霜</t>
        </is>
      </c>
      <c r="D152" s="37" t="inlineStr">
        <is>
          <t>未完成</t>
        </is>
      </c>
      <c r="E152" s="37" t="inlineStr"/>
      <c r="F152" s="37" t="inlineStr">
        <is>
          <t>国内带</t>
        </is>
      </c>
      <c r="G152" s="37" t="n"/>
      <c r="H152" s="37" t="n"/>
      <c r="I152" s="39" t="inlineStr"/>
      <c r="J152" s="36" t="n"/>
    </row>
    <row r="153">
      <c r="A153" s="36" t="inlineStr">
        <is>
          <t>洗漱护肤</t>
        </is>
      </c>
      <c r="B153" s="37" t="inlineStr">
        <is>
          <t>T-7 出发前一周</t>
        </is>
      </c>
      <c r="C153" s="38" t="inlineStr">
        <is>
          <t>洗发水 / 护发素 小瓶装</t>
        </is>
      </c>
      <c r="D153" s="37" t="inlineStr">
        <is>
          <t>未完成</t>
        </is>
      </c>
      <c r="E153" s="37" t="inlineStr"/>
      <c r="F153" s="37" t="inlineStr">
        <is>
          <t>国内带</t>
        </is>
      </c>
      <c r="G153" s="37" t="n"/>
      <c r="H153" s="37" t="n"/>
      <c r="I153" s="39" t="inlineStr">
        <is>
          <t>大瓶落地买，带着太沉（小红书 @明天会下雨吗？「新加坡留学之什么真的该带」576赞，2026-09）</t>
        </is>
      </c>
      <c r="J153" s="36" t="n"/>
    </row>
    <row r="154">
      <c r="A154" s="36" t="inlineStr">
        <is>
          <t>洗漱护肤</t>
        </is>
      </c>
      <c r="B154" s="37" t="inlineStr">
        <is>
          <t>T-7 出发前一周</t>
        </is>
      </c>
      <c r="C154" s="38" t="inlineStr">
        <is>
          <t>护发精油</t>
        </is>
      </c>
      <c r="D154" s="37" t="inlineStr">
        <is>
          <t>未完成</t>
        </is>
      </c>
      <c r="E154" s="37" t="inlineStr"/>
      <c r="F154" s="37" t="inlineStr">
        <is>
          <t>国内带</t>
        </is>
      </c>
      <c r="G154" s="37" t="n"/>
      <c r="H154" s="37" t="n"/>
      <c r="I154" s="39" t="inlineStr"/>
      <c r="J154" s="36" t="n"/>
    </row>
    <row r="155">
      <c r="A155" s="36" t="inlineStr">
        <is>
          <t>洗漱护肤</t>
        </is>
      </c>
      <c r="B155" s="37" t="inlineStr">
        <is>
          <t>T-7 出发前一周</t>
        </is>
      </c>
      <c r="C155" s="38" t="inlineStr">
        <is>
          <t>沐浴露小瓶 / 香皂</t>
        </is>
      </c>
      <c r="D155" s="37" t="inlineStr">
        <is>
          <t>未完成</t>
        </is>
      </c>
      <c r="E155" s="37" t="inlineStr"/>
      <c r="F155" s="37" t="inlineStr">
        <is>
          <t>国内带</t>
        </is>
      </c>
      <c r="G155" s="37" t="n"/>
      <c r="H155" s="37" t="n"/>
      <c r="I155" s="39" t="inlineStr">
        <is>
          <t>小红书 @明天会下雨吗？「新加坡留学之什么真的该带」576赞，2026-09：洗得勤的话用香皂很舒服还简单</t>
        </is>
      </c>
      <c r="J155" s="36" t="n"/>
    </row>
    <row r="156">
      <c r="A156" s="36" t="inlineStr">
        <is>
          <t>洗漱护肤</t>
        </is>
      </c>
      <c r="B156" s="37" t="inlineStr">
        <is>
          <t>T-7 出发前一周</t>
        </is>
      </c>
      <c r="C156" s="38" t="inlineStr">
        <is>
          <t>牙刷 + 牙膏 + 牙线</t>
        </is>
      </c>
      <c r="D156" s="37" t="inlineStr">
        <is>
          <t>未完成</t>
        </is>
      </c>
      <c r="E156" s="37" t="inlineStr"/>
      <c r="F156" s="37" t="inlineStr">
        <is>
          <t>国内带</t>
        </is>
      </c>
      <c r="G156" s="37" t="n"/>
      <c r="H156" s="37" t="n"/>
      <c r="I156" s="39" t="inlineStr"/>
      <c r="J156" s="36" t="n"/>
    </row>
    <row r="157">
      <c r="A157" s="36" t="inlineStr">
        <is>
          <t>洗漱护肤</t>
        </is>
      </c>
      <c r="B157" s="37" t="inlineStr">
        <is>
          <t>T-7 出发前一周</t>
        </is>
      </c>
      <c r="C157" s="38" t="inlineStr">
        <is>
          <t>梳子</t>
        </is>
      </c>
      <c r="D157" s="37" t="inlineStr">
        <is>
          <t>未完成</t>
        </is>
      </c>
      <c r="E157" s="37" t="inlineStr"/>
      <c r="F157" s="37" t="inlineStr">
        <is>
          <t>国内带</t>
        </is>
      </c>
      <c r="G157" s="37" t="n"/>
      <c r="H157" s="37" t="n"/>
      <c r="I157" s="39" t="inlineStr"/>
      <c r="J157" s="36" t="n"/>
    </row>
    <row r="158">
      <c r="A158" s="36" t="inlineStr">
        <is>
          <t>洗漱护肤</t>
        </is>
      </c>
      <c r="B158" s="37" t="inlineStr">
        <is>
          <t>T-7 出发前一周</t>
        </is>
      </c>
      <c r="C158" s="38" t="inlineStr">
        <is>
          <t>指甲刀</t>
        </is>
      </c>
      <c r="D158" s="37" t="inlineStr">
        <is>
          <t>未完成</t>
        </is>
      </c>
      <c r="E158" s="37" t="inlineStr"/>
      <c r="F158" s="37" t="inlineStr">
        <is>
          <t>国内带</t>
        </is>
      </c>
      <c r="G158" s="37" t="n"/>
      <c r="H158" s="37" t="n"/>
      <c r="I158" s="39" t="inlineStr">
        <is>
          <t>放托运，别放随身</t>
        </is>
      </c>
      <c r="J158" s="36" t="n"/>
    </row>
    <row r="159">
      <c r="A159" s="36" t="inlineStr">
        <is>
          <t>洗漱护肤</t>
        </is>
      </c>
      <c r="B159" s="37" t="inlineStr">
        <is>
          <t>T-7 出发前一周</t>
        </is>
      </c>
      <c r="C159" s="38" t="inlineStr">
        <is>
          <t>小剪刀 + 修鼻毛器</t>
        </is>
      </c>
      <c r="D159" s="37" t="inlineStr">
        <is>
          <t>未完成</t>
        </is>
      </c>
      <c r="E159" s="37" t="inlineStr"/>
      <c r="F159" s="37" t="inlineStr">
        <is>
          <t>国内带</t>
        </is>
      </c>
      <c r="G159" s="37" t="n"/>
      <c r="H159" s="37" t="n"/>
      <c r="I159" s="39" t="inlineStr">
        <is>
          <t>小红书 @krsttt「NUS j人留子 行前准备」733赞，2026-09 列了</t>
        </is>
      </c>
      <c r="J159" s="36" t="n"/>
    </row>
    <row r="160">
      <c r="A160" s="36" t="inlineStr">
        <is>
          <t>洗漱护肤</t>
        </is>
      </c>
      <c r="B160" s="37" t="inlineStr">
        <is>
          <t>T-7 出发前一周</t>
        </is>
      </c>
      <c r="C160" s="38" t="inlineStr">
        <is>
          <t>螺丝刀套装</t>
        </is>
      </c>
      <c r="D160" s="37" t="inlineStr">
        <is>
          <t>未完成</t>
        </is>
      </c>
      <c r="E160" s="37" t="inlineStr"/>
      <c r="F160" s="37" t="inlineStr">
        <is>
          <t>国内带</t>
        </is>
      </c>
      <c r="G160" s="37" t="n"/>
      <c r="H160" s="37" t="n"/>
      <c r="I160" s="39" t="inlineStr">
        <is>
          <t>小红书 @krsttt「NUS j人留子 行前准备」733赞，2026-09 列了，装家具修东西用得上</t>
        </is>
      </c>
      <c r="J160" s="36" t="n"/>
    </row>
    <row r="161">
      <c r="A161" s="36" t="inlineStr">
        <is>
          <t>洗漱护肤</t>
        </is>
      </c>
      <c r="B161" s="37" t="inlineStr">
        <is>
          <t>T-7 出发前一周</t>
        </is>
      </c>
      <c r="C161" s="38" t="inlineStr">
        <is>
          <t>头绳 / 发饰</t>
        </is>
      </c>
      <c r="D161" s="37" t="inlineStr">
        <is>
          <t>未完成</t>
        </is>
      </c>
      <c r="E161" s="37" t="inlineStr"/>
      <c r="F161" s="37" t="inlineStr">
        <is>
          <t>国内带</t>
        </is>
      </c>
      <c r="G161" s="37" t="n"/>
      <c r="H161" s="37" t="n"/>
      <c r="I161" s="39" t="inlineStr"/>
      <c r="J161" s="36" t="n"/>
    </row>
    <row r="162">
      <c r="A162" s="36" t="inlineStr">
        <is>
          <t>洗漱护肤</t>
        </is>
      </c>
      <c r="B162" s="37" t="inlineStr">
        <is>
          <t>T-7 出发前一周</t>
        </is>
      </c>
      <c r="C162" s="38" t="inlineStr">
        <is>
          <t>化妆包 + 常用彩妆 + 备货</t>
        </is>
      </c>
      <c r="D162" s="37" t="inlineStr">
        <is>
          <t>未完成</t>
        </is>
      </c>
      <c r="E162" s="37" t="inlineStr"/>
      <c r="F162" s="37" t="inlineStr">
        <is>
          <t>国内带</t>
        </is>
      </c>
      <c r="G162" s="37" t="n"/>
      <c r="H162" s="37" t="n"/>
      <c r="I162" s="39" t="inlineStr"/>
      <c r="J162" s="36" t="n"/>
    </row>
    <row r="163">
      <c r="A163" s="36" t="inlineStr">
        <is>
          <t>洗漱护肤</t>
        </is>
      </c>
      <c r="B163" s="37" t="inlineStr">
        <is>
          <t>T-7 出发前一周</t>
        </is>
      </c>
      <c r="C163" s="38" t="inlineStr">
        <is>
          <t>化妆刷 + 刷包</t>
        </is>
      </c>
      <c r="D163" s="37" t="inlineStr">
        <is>
          <t>未完成</t>
        </is>
      </c>
      <c r="E163" s="37" t="inlineStr"/>
      <c r="F163" s="37" t="inlineStr">
        <is>
          <t>国内带</t>
        </is>
      </c>
      <c r="G163" s="37" t="n"/>
      <c r="H163" s="37" t="n"/>
      <c r="I163" s="39" t="inlineStr"/>
      <c r="J163" s="36" t="n"/>
    </row>
    <row r="164">
      <c r="A164" s="36" t="inlineStr">
        <is>
          <t>洗漱护肤</t>
        </is>
      </c>
      <c r="B164" s="37" t="inlineStr">
        <is>
          <t>T-7 出发前一周</t>
        </is>
      </c>
      <c r="C164" s="38" t="inlineStr">
        <is>
          <t>隐形眼镜（日抛/月抛）+ 护理液 + 双联盒</t>
        </is>
      </c>
      <c r="D164" s="37" t="inlineStr">
        <is>
          <t>未完成</t>
        </is>
      </c>
      <c r="E164" s="37" t="inlineStr">
        <is>
          <t>是</t>
        </is>
      </c>
      <c r="F164" s="37" t="inlineStr">
        <is>
          <t>国内带</t>
        </is>
      </c>
      <c r="G164" s="37" t="n"/>
      <c r="H164" s="37" t="n"/>
      <c r="I164" s="39" t="inlineStr">
        <is>
          <t>本地配镜贵，一次多带</t>
        </is>
      </c>
      <c r="J164" s="36" t="n"/>
    </row>
    <row r="165">
      <c r="A165" s="36" t="inlineStr">
        <is>
          <t>洗漱护肤</t>
        </is>
      </c>
      <c r="B165" s="37" t="inlineStr">
        <is>
          <t>T-7 出发前一周</t>
        </is>
      </c>
      <c r="C165" s="38" t="inlineStr">
        <is>
          <t>美瞳</t>
        </is>
      </c>
      <c r="D165" s="37" t="inlineStr">
        <is>
          <t>未完成</t>
        </is>
      </c>
      <c r="E165" s="37" t="inlineStr"/>
      <c r="F165" s="37" t="inlineStr">
        <is>
          <t>国内带</t>
        </is>
      </c>
      <c r="G165" s="37" t="n"/>
      <c r="H165" s="37" t="n"/>
      <c r="I165" s="39" t="inlineStr">
        <is>
          <t>小红书 @frjinnfaerei「26fall行李进度50%」459赞，2026-09 带了日抛和月抛两种</t>
        </is>
      </c>
      <c r="J165" s="36" t="n"/>
    </row>
    <row r="166">
      <c r="A166" s="36" t="inlineStr">
        <is>
          <t>洗漱护肤</t>
        </is>
      </c>
      <c r="B166" s="37" t="inlineStr">
        <is>
          <t>T-7 出发前一周</t>
        </is>
      </c>
      <c r="C166" s="38" t="inlineStr">
        <is>
          <t>洗漱包 / 分装收纳袋</t>
        </is>
      </c>
      <c r="D166" s="37" t="inlineStr">
        <is>
          <t>未完成</t>
        </is>
      </c>
      <c r="E166" s="37" t="inlineStr"/>
      <c r="F166" s="37" t="inlineStr">
        <is>
          <t>国内带</t>
        </is>
      </c>
      <c r="G166" s="37" t="n"/>
      <c r="H166" s="37" t="n"/>
      <c r="I166" s="39" t="inlineStr"/>
      <c r="J166" s="36" t="n"/>
    </row>
    <row r="167">
      <c r="A167" s="36" t="inlineStr">
        <is>
          <t>穿 · 衣物鞋包</t>
        </is>
      </c>
      <c r="B167" s="37" t="inlineStr">
        <is>
          <t>T-7 出发前一周</t>
        </is>
      </c>
      <c r="C167" s="38" t="inlineStr">
        <is>
          <t>短袖 T 恤 / 衬衫 10–15 件</t>
        </is>
      </c>
      <c r="D167" s="37" t="inlineStr">
        <is>
          <t>未完成</t>
        </is>
      </c>
      <c r="E167" s="37" t="inlineStr">
        <is>
          <t>是</t>
        </is>
      </c>
      <c r="F167" s="37" t="inlineStr">
        <is>
          <t>国内带</t>
        </is>
      </c>
      <c r="G167" s="37" t="n"/>
      <c r="H167" s="37" t="n"/>
      <c r="I167" s="39" t="inlineStr">
        <is>
          <t>棉质或速干面料。NTU 教室、图书馆空调足，单穿短袖可能冷（小红书 @杂菜饭主理人「25fall新硕留子の开学清单」868赞，NTU 专属，2026-09）</t>
        </is>
      </c>
      <c r="J167" s="36" t="n"/>
    </row>
    <row r="168">
      <c r="A168" s="36" t="inlineStr">
        <is>
          <t>穿 · 衣物鞋包</t>
        </is>
      </c>
      <c r="B168" s="37" t="inlineStr">
        <is>
          <t>T-7 出发前一周</t>
        </is>
      </c>
      <c r="C168" s="38" t="inlineStr">
        <is>
          <t>Polo 衫 ×3（可选）</t>
        </is>
      </c>
      <c r="D168" s="37" t="inlineStr">
        <is>
          <t>未完成</t>
        </is>
      </c>
      <c r="E168" s="37" t="inlineStr"/>
      <c r="F168" s="37" t="inlineStr">
        <is>
          <t>国内带</t>
        </is>
      </c>
      <c r="G168" s="37" t="n"/>
      <c r="H168" s="37" t="n"/>
      <c r="I168" s="39" t="inlineStr"/>
      <c r="J168" s="36" t="n"/>
    </row>
    <row r="169">
      <c r="A169" s="36" t="inlineStr">
        <is>
          <t>穿 · 衣物鞋包</t>
        </is>
      </c>
      <c r="B169" s="37" t="inlineStr">
        <is>
          <t>T-7 出发前一周</t>
        </is>
      </c>
      <c r="C169" s="38" t="inlineStr">
        <is>
          <t>衬衫 ×2</t>
        </is>
      </c>
      <c r="D169" s="37" t="inlineStr">
        <is>
          <t>未完成</t>
        </is>
      </c>
      <c r="E169" s="37" t="inlineStr"/>
      <c r="F169" s="37" t="inlineStr">
        <is>
          <t>国内带</t>
        </is>
      </c>
      <c r="G169" s="37" t="n"/>
      <c r="H169" s="37" t="n"/>
      <c r="I169" s="39" t="inlineStr"/>
      <c r="J169" s="36" t="n"/>
    </row>
    <row r="170">
      <c r="A170" s="36" t="inlineStr">
        <is>
          <t>穿 · 衣物鞋包</t>
        </is>
      </c>
      <c r="B170" s="37" t="inlineStr">
        <is>
          <t>T-7 出发前一周</t>
        </is>
      </c>
      <c r="C170" s="38" t="inlineStr">
        <is>
          <t>薄长裤 / 短裤 5–8 条</t>
        </is>
      </c>
      <c r="D170" s="37" t="inlineStr">
        <is>
          <t>未完成</t>
        </is>
      </c>
      <c r="E170" s="37" t="inlineStr">
        <is>
          <t>是</t>
        </is>
      </c>
      <c r="F170" s="37" t="inlineStr">
        <is>
          <t>国内带</t>
        </is>
      </c>
      <c r="G170" s="37" t="n"/>
      <c r="H170" s="37" t="n"/>
      <c r="I170" s="39" t="inlineStr">
        <is>
          <t>长裤选轻薄款，空调房必备；短裤适合户外，NTU 校园大走路多（小红书 @杂菜饭主理人「25fall新硕留子の开学清单」868赞，NTU 专属，2026-09）</t>
        </is>
      </c>
      <c r="J170" s="36" t="n"/>
    </row>
    <row r="171">
      <c r="A171" s="36" t="inlineStr">
        <is>
          <t>穿 · 衣物鞋包</t>
        </is>
      </c>
      <c r="B171" s="37" t="inlineStr">
        <is>
          <t>T-7 出发前一周</t>
        </is>
      </c>
      <c r="C171" s="38" t="inlineStr">
        <is>
          <t>裙子 ×2（可选）</t>
        </is>
      </c>
      <c r="D171" s="37" t="inlineStr">
        <is>
          <t>未完成</t>
        </is>
      </c>
      <c r="E171" s="37" t="inlineStr"/>
      <c r="F171" s="37" t="inlineStr">
        <is>
          <t>国内带</t>
        </is>
      </c>
      <c r="G171" s="37" t="n"/>
      <c r="H171" s="37" t="n"/>
      <c r="I171" s="39" t="inlineStr"/>
      <c r="J171" s="36" t="n"/>
    </row>
    <row r="172">
      <c r="A172" s="36" t="inlineStr">
        <is>
          <t>穿 · 衣物鞋包</t>
        </is>
      </c>
      <c r="B172" s="37" t="inlineStr">
        <is>
          <t>T-7 出发前一周</t>
        </is>
      </c>
      <c r="C172" s="38" t="inlineStr">
        <is>
          <t>薄外套 / 防晒衣 ×2</t>
        </is>
      </c>
      <c r="D172" s="37" t="inlineStr">
        <is>
          <t>未完成</t>
        </is>
      </c>
      <c r="E172" s="37" t="inlineStr">
        <is>
          <t>是</t>
        </is>
      </c>
      <c r="F172" s="37" t="inlineStr">
        <is>
          <t>国内带</t>
        </is>
      </c>
      <c r="G172" s="37" t="n"/>
      <c r="H172" s="37" t="n"/>
      <c r="I172" s="39" t="inlineStr">
        <is>
          <t>空调房、雨天防风用，防晒衣还能挡强紫外线（小红书 @杂菜饭主理人「25fall新硕留子の开学清单」868赞，NTU 专属，2026-09）</t>
        </is>
      </c>
      <c r="J172" s="36" t="n"/>
    </row>
    <row r="173">
      <c r="A173" s="36" t="inlineStr">
        <is>
          <t>穿 · 衣物鞋包</t>
        </is>
      </c>
      <c r="B173" s="37" t="inlineStr">
        <is>
          <t>T-7 出发前一周</t>
        </is>
      </c>
      <c r="C173" s="38" t="inlineStr">
        <is>
          <t>冲锋衣</t>
        </is>
      </c>
      <c r="D173" s="37" t="inlineStr">
        <is>
          <t>未完成</t>
        </is>
      </c>
      <c r="E173" s="37" t="inlineStr"/>
      <c r="F173" s="37" t="inlineStr">
        <is>
          <t>国内带</t>
        </is>
      </c>
      <c r="G173" s="37" t="n"/>
      <c r="H173" s="37" t="n"/>
      <c r="I173" s="39" t="inlineStr">
        <is>
          <t>小红书 @杂菜饭主理人「25fall新硕留子の开学清单」868赞，NTU 专属，2026-09 列了；空调房和雨天用</t>
        </is>
      </c>
      <c r="J173" s="36" t="n"/>
    </row>
    <row r="174">
      <c r="A174" s="36" t="inlineStr">
        <is>
          <t>穿 · 衣物鞋包</t>
        </is>
      </c>
      <c r="B174" s="37" t="inlineStr">
        <is>
          <t>T-7 出发前一周</t>
        </is>
      </c>
      <c r="C174" s="38" t="inlineStr">
        <is>
          <t>帽子 ×2–3</t>
        </is>
      </c>
      <c r="D174" s="37" t="inlineStr">
        <is>
          <t>未完成</t>
        </is>
      </c>
      <c r="E174" s="37" t="inlineStr"/>
      <c r="F174" s="37" t="inlineStr">
        <is>
          <t>国内带</t>
        </is>
      </c>
      <c r="G174" s="37" t="n"/>
      <c r="H174" s="37" t="n"/>
      <c r="I174" s="39" t="inlineStr"/>
      <c r="J174" s="36" t="n"/>
    </row>
    <row r="175">
      <c r="A175" s="36" t="inlineStr">
        <is>
          <t>穿 · 衣物鞋包</t>
        </is>
      </c>
      <c r="B175" s="37" t="inlineStr">
        <is>
          <t>T-7 出发前一周</t>
        </is>
      </c>
      <c r="C175" s="38" t="inlineStr">
        <is>
          <t>墨镜</t>
        </is>
      </c>
      <c r="D175" s="37" t="inlineStr">
        <is>
          <t>未完成</t>
        </is>
      </c>
      <c r="E175" s="37" t="inlineStr"/>
      <c r="F175" s="37" t="inlineStr">
        <is>
          <t>国内带</t>
        </is>
      </c>
      <c r="G175" s="37" t="n"/>
      <c r="H175" s="37" t="n"/>
      <c r="I175" s="39" t="inlineStr">
        <is>
          <t>小红书 @krsttt「NUS j人留子 行前准备」733赞，2026-09 带的是 GM</t>
        </is>
      </c>
      <c r="J175" s="36" t="n"/>
    </row>
    <row r="176">
      <c r="A176" s="36" t="inlineStr">
        <is>
          <t>穿 · 衣物鞋包</t>
        </is>
      </c>
      <c r="B176" s="37" t="inlineStr">
        <is>
          <t>T-7 出发前一周</t>
        </is>
      </c>
      <c r="C176" s="38" t="inlineStr">
        <is>
          <t>晴雨两用折叠伞 ×2</t>
        </is>
      </c>
      <c r="D176" s="37" t="inlineStr">
        <is>
          <t>未完成</t>
        </is>
      </c>
      <c r="E176" s="37" t="inlineStr">
        <is>
          <t>是</t>
        </is>
      </c>
      <c r="F176" s="37" t="inlineStr">
        <is>
          <t>国内带</t>
        </is>
      </c>
      <c r="G176" s="37" t="n"/>
      <c r="H176" s="37" t="n"/>
      <c r="I176" s="39" t="inlineStr">
        <is>
          <t>新加坡多阵雨，NTU 校园大，一把常年放书包（小红书 @杂菜饭主理人「25fall新硕留子の开学清单」868赞，NTU 专属，2026-09）</t>
        </is>
      </c>
      <c r="J176" s="36" t="n"/>
    </row>
    <row r="177">
      <c r="A177" s="36" t="inlineStr">
        <is>
          <t>穿 · 衣物鞋包</t>
        </is>
      </c>
      <c r="B177" s="37" t="inlineStr">
        <is>
          <t>T-7 出发前一周</t>
        </is>
      </c>
      <c r="C177" s="38" t="inlineStr">
        <is>
          <t>运动鞋 ×2</t>
        </is>
      </c>
      <c r="D177" s="37" t="inlineStr">
        <is>
          <t>未完成</t>
        </is>
      </c>
      <c r="E177" s="37" t="inlineStr">
        <is>
          <t>是</t>
        </is>
      </c>
      <c r="F177" s="37" t="inlineStr">
        <is>
          <t>国内带</t>
        </is>
      </c>
      <c r="G177" s="37" t="n"/>
      <c r="H177" s="37" t="n"/>
      <c r="I177" s="39" t="inlineStr">
        <is>
          <t>NTU 校园需要频繁走路、坡路多，选防滑轻便款（小红书 @杂菜饭主理人「25fall新硕留子の开学清单」868赞，NTU 专属，2026-09）</t>
        </is>
      </c>
      <c r="J177" s="36" t="n"/>
    </row>
    <row r="178">
      <c r="A178" s="36" t="inlineStr">
        <is>
          <t>穿 · 衣物鞋包</t>
        </is>
      </c>
      <c r="B178" s="37" t="inlineStr">
        <is>
          <t>T-7 出发前一周</t>
        </is>
      </c>
      <c r="C178" s="38" t="inlineStr">
        <is>
          <t>洞洞鞋 / 凉鞋</t>
        </is>
      </c>
      <c r="D178" s="37" t="inlineStr">
        <is>
          <t>未完成</t>
        </is>
      </c>
      <c r="E178" s="37" t="inlineStr"/>
      <c r="F178" s="37" t="inlineStr">
        <is>
          <t>国内带</t>
        </is>
      </c>
      <c r="G178" s="37" t="n"/>
      <c r="H178" s="37" t="n"/>
      <c r="I178" s="39" t="inlineStr">
        <is>
          <t>雨天外出方便</t>
        </is>
      </c>
      <c r="J178" s="36" t="n"/>
    </row>
    <row r="179">
      <c r="A179" s="36" t="inlineStr">
        <is>
          <t>穿 · 衣物鞋包</t>
        </is>
      </c>
      <c r="B179" s="37" t="inlineStr">
        <is>
          <t>T-7 出发前一周</t>
        </is>
      </c>
      <c r="C179" s="38" t="inlineStr">
        <is>
          <t>拖鞋（室内 + 浴室）</t>
        </is>
      </c>
      <c r="D179" s="37" t="inlineStr">
        <is>
          <t>未完成</t>
        </is>
      </c>
      <c r="E179" s="37" t="inlineStr">
        <is>
          <t>是</t>
        </is>
      </c>
      <c r="F179" s="37" t="inlineStr">
        <is>
          <t>国内带</t>
        </is>
      </c>
      <c r="G179" s="37" t="n"/>
      <c r="H179" s="37" t="n"/>
      <c r="I179" s="39" t="inlineStr"/>
      <c r="J179" s="36" t="n"/>
    </row>
    <row r="180">
      <c r="A180" s="36" t="inlineStr">
        <is>
          <t>穿 · 衣物鞋包</t>
        </is>
      </c>
      <c r="B180" s="37" t="inlineStr">
        <is>
          <t>T-7 出发前一周</t>
        </is>
      </c>
      <c r="C180" s="38" t="inlineStr">
        <is>
          <t>正装 1 套（西装/衬衫 + 西裤/裙）</t>
        </is>
      </c>
      <c r="D180" s="37" t="inlineStr">
        <is>
          <t>未完成</t>
        </is>
      </c>
      <c r="E180" s="37" t="inlineStr">
        <is>
          <t>是</t>
        </is>
      </c>
      <c r="F180" s="37" t="inlineStr">
        <is>
          <t>国内带</t>
        </is>
      </c>
      <c r="G180" s="37" t="n"/>
      <c r="H180" s="37" t="n"/>
      <c r="I180" s="39" t="inlineStr">
        <is>
          <t>讲座、招聘会、小组汇报要用，本地买正装较贵（小红书 @杂菜饭主理人「25fall新硕留子の开学清单」868赞，NTU 专属，2026-09）</t>
        </is>
      </c>
      <c r="J180" s="36" t="n"/>
    </row>
    <row r="181">
      <c r="A181" s="36" t="inlineStr">
        <is>
          <t>穿 · 衣物鞋包</t>
        </is>
      </c>
      <c r="B181" s="37" t="inlineStr">
        <is>
          <t>T-7 出发前一周</t>
        </is>
      </c>
      <c r="C181" s="38" t="inlineStr">
        <is>
          <t>正装鞋</t>
        </is>
      </c>
      <c r="D181" s="37" t="inlineStr">
        <is>
          <t>未完成</t>
        </is>
      </c>
      <c r="E181" s="37" t="inlineStr"/>
      <c r="F181" s="37" t="inlineStr">
        <is>
          <t>国内带</t>
        </is>
      </c>
      <c r="G181" s="37" t="n"/>
      <c r="H181" s="37" t="n"/>
      <c r="I181" s="39" t="inlineStr"/>
      <c r="J181" s="36" t="n"/>
    </row>
    <row r="182">
      <c r="A182" s="36" t="inlineStr">
        <is>
          <t>穿 · 衣物鞋包</t>
        </is>
      </c>
      <c r="B182" s="37" t="inlineStr">
        <is>
          <t>T-7 出发前一周</t>
        </is>
      </c>
      <c r="C182" s="38" t="inlineStr">
        <is>
          <t>内裤 ×6–10</t>
        </is>
      </c>
      <c r="D182" s="37" t="inlineStr">
        <is>
          <t>未完成</t>
        </is>
      </c>
      <c r="E182" s="37" t="inlineStr">
        <is>
          <t>是</t>
        </is>
      </c>
      <c r="F182" s="37" t="inlineStr">
        <is>
          <t>国内带</t>
        </is>
      </c>
      <c r="G182" s="37" t="n"/>
      <c r="H182" s="37" t="n"/>
      <c r="I182" s="39" t="inlineStr">
        <is>
          <t>小红书 @明天会下雨吗？「新加坡留学之什么真的该带」576赞，2026-09：这边内衣裤没国内便宜也没国内好</t>
        </is>
      </c>
      <c r="J182" s="36" t="n"/>
    </row>
    <row r="183">
      <c r="A183" s="36" t="inlineStr">
        <is>
          <t>穿 · 衣物鞋包</t>
        </is>
      </c>
      <c r="B183" s="37" t="inlineStr">
        <is>
          <t>T-7 出发前一周</t>
        </is>
      </c>
      <c r="C183" s="38" t="inlineStr">
        <is>
          <t>袜子 ×7–10</t>
        </is>
      </c>
      <c r="D183" s="37" t="inlineStr">
        <is>
          <t>未完成</t>
        </is>
      </c>
      <c r="E183" s="37" t="inlineStr">
        <is>
          <t>是</t>
        </is>
      </c>
      <c r="F183" s="37" t="inlineStr">
        <is>
          <t>国内带</t>
        </is>
      </c>
      <c r="G183" s="37" t="n"/>
      <c r="H183" s="37" t="n"/>
      <c r="I183" s="39" t="inlineStr"/>
      <c r="J183" s="36" t="n"/>
    </row>
    <row r="184">
      <c r="A184" s="36" t="inlineStr">
        <is>
          <t>穿 · 衣物鞋包</t>
        </is>
      </c>
      <c r="B184" s="37" t="inlineStr">
        <is>
          <t>T-7 出发前一周</t>
        </is>
      </c>
      <c r="C184" s="38" t="inlineStr">
        <is>
          <t>文胸 / 背心</t>
        </is>
      </c>
      <c r="D184" s="37" t="inlineStr">
        <is>
          <t>未完成</t>
        </is>
      </c>
      <c r="E184" s="37" t="inlineStr"/>
      <c r="F184" s="37" t="inlineStr">
        <is>
          <t>国内带</t>
        </is>
      </c>
      <c r="G184" s="37" t="n"/>
      <c r="H184" s="37" t="n"/>
      <c r="I184" s="39" t="inlineStr"/>
      <c r="J184" s="36" t="n"/>
    </row>
    <row r="185">
      <c r="A185" s="36" t="inlineStr">
        <is>
          <t>穿 · 衣物鞋包</t>
        </is>
      </c>
      <c r="B185" s="37" t="inlineStr">
        <is>
          <t>T-7 出发前一周</t>
        </is>
      </c>
      <c r="C185" s="38" t="inlineStr">
        <is>
          <t>睡衣 ×2–3</t>
        </is>
      </c>
      <c r="D185" s="37" t="inlineStr">
        <is>
          <t>未完成</t>
        </is>
      </c>
      <c r="E185" s="37" t="inlineStr"/>
      <c r="F185" s="37" t="inlineStr">
        <is>
          <t>国内带</t>
        </is>
      </c>
      <c r="G185" s="37" t="n"/>
      <c r="H185" s="37" t="n"/>
      <c r="I185" s="39" t="inlineStr"/>
      <c r="J185" s="36" t="n"/>
    </row>
    <row r="186">
      <c r="A186" s="36" t="inlineStr">
        <is>
          <t>穿 · 衣物鞋包</t>
        </is>
      </c>
      <c r="B186" s="37" t="inlineStr">
        <is>
          <t>T-7 出发前一周</t>
        </is>
      </c>
      <c r="C186" s="38" t="inlineStr">
        <is>
          <t>泳衣</t>
        </is>
      </c>
      <c r="D186" s="37" t="inlineStr">
        <is>
          <t>未完成</t>
        </is>
      </c>
      <c r="E186" s="37" t="inlineStr"/>
      <c r="F186" s="37" t="inlineStr">
        <is>
          <t>国内带</t>
        </is>
      </c>
      <c r="G186" s="37" t="n"/>
      <c r="H186" s="37" t="n"/>
      <c r="I186" s="39" t="inlineStr">
        <is>
          <t>公寓泳池、东海岸、学校泳池都用得上</t>
        </is>
      </c>
      <c r="J186" s="36" t="n"/>
    </row>
    <row r="187">
      <c r="A187" s="36" t="inlineStr">
        <is>
          <t>穿 · 衣物鞋包</t>
        </is>
      </c>
      <c r="B187" s="37" t="inlineStr">
        <is>
          <t>T-7 出发前一周</t>
        </is>
      </c>
      <c r="C187" s="38" t="inlineStr">
        <is>
          <t>双肩包（耐用款）</t>
        </is>
      </c>
      <c r="D187" s="37" t="inlineStr">
        <is>
          <t>未完成</t>
        </is>
      </c>
      <c r="E187" s="37" t="inlineStr">
        <is>
          <t>是</t>
        </is>
      </c>
      <c r="F187" s="37" t="inlineStr">
        <is>
          <t>国内带</t>
        </is>
      </c>
      <c r="G187" s="37" t="n"/>
      <c r="H187" s="37" t="n"/>
      <c r="I187" s="39" t="inlineStr">
        <is>
          <t>NTU 校园大，上课要带电脑和课本，背包更省力（小红书 @杂菜饭主理人「25fall新硕留子の开学清单」868赞，NTU 专属，2026-09）</t>
        </is>
      </c>
      <c r="J187" s="36" t="n"/>
    </row>
    <row r="188">
      <c r="A188" s="36" t="inlineStr">
        <is>
          <t>穿 · 衣物鞋包</t>
        </is>
      </c>
      <c r="B188" s="37" t="inlineStr">
        <is>
          <t>T-7 出发前一周</t>
        </is>
      </c>
      <c r="C188" s="38" t="inlineStr">
        <is>
          <t>斜挎包 / 小包</t>
        </is>
      </c>
      <c r="D188" s="37" t="inlineStr">
        <is>
          <t>未完成</t>
        </is>
      </c>
      <c r="E188" s="37" t="inlineStr"/>
      <c r="F188" s="37" t="inlineStr">
        <is>
          <t>国内带</t>
        </is>
      </c>
      <c r="G188" s="37" t="n"/>
      <c r="H188" s="37" t="n"/>
      <c r="I188" s="39" t="inlineStr"/>
      <c r="J188" s="36" t="n"/>
    </row>
    <row r="189">
      <c r="A189" s="36" t="inlineStr">
        <is>
          <t>穿 · 衣物鞋包</t>
        </is>
      </c>
      <c r="B189" s="37" t="inlineStr">
        <is>
          <t>T-7 出发前一周</t>
        </is>
      </c>
      <c r="C189" s="38" t="inlineStr">
        <is>
          <t>托特包 / 环保购物袋</t>
        </is>
      </c>
      <c r="D189" s="37" t="inlineStr">
        <is>
          <t>未完成</t>
        </is>
      </c>
      <c r="E189" s="37" t="inlineStr"/>
      <c r="F189" s="37" t="inlineStr">
        <is>
          <t>国内带</t>
        </is>
      </c>
      <c r="G189" s="37" t="n"/>
      <c r="H189" s="37" t="n"/>
      <c r="I189" s="39" t="inlineStr">
        <is>
          <t>超市不免费给袋子</t>
        </is>
      </c>
      <c r="J189" s="36" t="n"/>
    </row>
    <row r="190">
      <c r="A190" s="36" t="inlineStr">
        <is>
          <t>穿 · 衣物鞋包</t>
        </is>
      </c>
      <c r="B190" s="37" t="inlineStr">
        <is>
          <t>T-7 出发前一周</t>
        </is>
      </c>
      <c r="C190" s="38" t="inlineStr">
        <is>
          <t>皮带</t>
        </is>
      </c>
      <c r="D190" s="37" t="inlineStr">
        <is>
          <t>未完成</t>
        </is>
      </c>
      <c r="E190" s="37" t="inlineStr"/>
      <c r="F190" s="37" t="inlineStr">
        <is>
          <t>国内带</t>
        </is>
      </c>
      <c r="G190" s="37" t="n"/>
      <c r="H190" s="37" t="n"/>
      <c r="I190" s="39" t="inlineStr"/>
      <c r="J190" s="36" t="n"/>
    </row>
    <row r="191">
      <c r="A191" s="36" t="inlineStr">
        <is>
          <t>穿 · 衣物鞋包</t>
        </is>
      </c>
      <c r="B191" s="37" t="inlineStr">
        <is>
          <t>T-7 出发前一周</t>
        </is>
      </c>
      <c r="C191" s="38" t="inlineStr">
        <is>
          <t>西装防皱袋</t>
        </is>
      </c>
      <c r="D191" s="37" t="inlineStr">
        <is>
          <t>未完成</t>
        </is>
      </c>
      <c r="E191" s="37" t="inlineStr"/>
      <c r="F191" s="37" t="inlineStr">
        <is>
          <t>国内带</t>
        </is>
      </c>
      <c r="G191" s="37" t="n"/>
      <c r="H191" s="37" t="n"/>
      <c r="I191" s="39" t="inlineStr"/>
      <c r="J191" s="36" t="n"/>
    </row>
    <row r="192">
      <c r="A192" s="36" t="inlineStr">
        <is>
          <t>药品医疗</t>
        </is>
      </c>
      <c r="B192" s="37" t="inlineStr">
        <is>
          <t>T-7 出发前一周</t>
        </is>
      </c>
      <c r="C192" s="38" t="inlineStr">
        <is>
          <t>总原则：带原包装 + 英文说明书，数量不超 3 个月用量</t>
        </is>
      </c>
      <c r="D192" s="37" t="inlineStr">
        <is>
          <t>未完成</t>
        </is>
      </c>
      <c r="E192" s="37" t="inlineStr">
        <is>
          <t>是</t>
        </is>
      </c>
      <c r="F192" s="37" t="inlineStr"/>
      <c r="G192" s="37" t="n"/>
      <c r="H192" s="37" t="n"/>
      <c r="I192" s="39" t="inlineStr">
        <is>
          <t>超量会被怀疑商业分销。新加坡买药多数需处方，非处方的如 Panadol 校内药店可买（小红书 @杂菜饭主理人「25fall新硕留子の开学清单」868赞，NTU 专属，2026-09）</t>
        </is>
      </c>
      <c r="J192" s="36" t="n"/>
    </row>
    <row r="193">
      <c r="A193" s="36" t="inlineStr">
        <is>
          <t>药品医疗</t>
        </is>
      </c>
      <c r="B193" s="37" t="inlineStr">
        <is>
          <t>T-7 出发前一周</t>
        </is>
      </c>
      <c r="C193" s="38" t="inlineStr">
        <is>
          <t>处方药：带英文处方 + 医生说明</t>
        </is>
      </c>
      <c r="D193" s="37" t="inlineStr">
        <is>
          <t>未完成</t>
        </is>
      </c>
      <c r="E193" s="37" t="inlineStr">
        <is>
          <t>是</t>
        </is>
      </c>
      <c r="F193" s="37" t="inlineStr">
        <is>
          <t>国内带</t>
        </is>
      </c>
      <c r="G193" s="37" t="n"/>
      <c r="H193" s="37" t="n"/>
      <c r="I193" s="39" t="inlineStr"/>
      <c r="J193" s="36" t="n"/>
    </row>
    <row r="194">
      <c r="A194" s="36" t="inlineStr">
        <is>
          <t>药品医疗</t>
        </is>
      </c>
      <c r="B194" s="37" t="inlineStr">
        <is>
          <t>T-7 出发前一周</t>
        </is>
      </c>
      <c r="C194" s="38" t="inlineStr">
        <is>
          <t>⚠️ 先自查：含麻黄碱 / 可待因 / 吗啡成分的药属管制</t>
        </is>
      </c>
      <c r="D194" s="37" t="inlineStr">
        <is>
          <t>未完成</t>
        </is>
      </c>
      <c r="E194" s="37" t="inlineStr">
        <is>
          <t>是</t>
        </is>
      </c>
      <c r="F194" s="37" t="inlineStr"/>
      <c r="G194" s="37" t="n"/>
      <c r="H194" s="37" t="n"/>
      <c r="I194" s="39" t="inlineStr">
        <is>
          <t>部分复方感冒药和止咳糖浆中招，出发前逐盒看配料表</t>
        </is>
      </c>
      <c r="J194" s="36" t="n"/>
    </row>
    <row r="195">
      <c r="A195" s="36" t="inlineStr">
        <is>
          <t>药品医疗</t>
        </is>
      </c>
      <c r="B195" s="37" t="inlineStr">
        <is>
          <t>T-7 出发前一周</t>
        </is>
      </c>
      <c r="C195" s="38" t="inlineStr">
        <is>
          <t>⚠️ 先自查：含麝香、羚羊角等濒危成分的中成药会被没收</t>
        </is>
      </c>
      <c r="D195" s="37" t="inlineStr">
        <is>
          <t>未完成</t>
        </is>
      </c>
      <c r="E195" s="37" t="inlineStr">
        <is>
          <t>是</t>
        </is>
      </c>
      <c r="F195" s="37" t="inlineStr"/>
      <c r="G195" s="37" t="n"/>
      <c r="H195" s="37" t="n"/>
      <c r="I195" s="39" t="inlineStr"/>
      <c r="J195" s="36" t="n"/>
    </row>
    <row r="196">
      <c r="A196" s="36" t="inlineStr">
        <is>
          <t>药品医疗</t>
        </is>
      </c>
      <c r="B196" s="37" t="inlineStr">
        <is>
          <t>T-7 出发前一周</t>
        </is>
      </c>
      <c r="C196" s="38" t="inlineStr">
        <is>
          <t>退烧止痛：布洛芬</t>
        </is>
      </c>
      <c r="D196" s="37" t="inlineStr">
        <is>
          <t>未完成</t>
        </is>
      </c>
      <c r="E196" s="37" t="inlineStr">
        <is>
          <t>是</t>
        </is>
      </c>
      <c r="F196" s="37" t="inlineStr">
        <is>
          <t>国内带</t>
        </is>
      </c>
      <c r="G196" s="37" t="n"/>
      <c r="H196" s="37" t="n"/>
      <c r="I196" s="39" t="inlineStr"/>
      <c r="J196" s="36" t="n"/>
    </row>
    <row r="197">
      <c r="A197" s="36" t="inlineStr">
        <is>
          <t>药品医疗</t>
        </is>
      </c>
      <c r="B197" s="37" t="inlineStr">
        <is>
          <t>T-7 出发前一周</t>
        </is>
      </c>
      <c r="C197" s="38" t="inlineStr">
        <is>
          <t>对乙酰氨基酚 / Panadol</t>
        </is>
      </c>
      <c r="D197" s="37" t="inlineStr">
        <is>
          <t>未完成</t>
        </is>
      </c>
      <c r="E197" s="37" t="inlineStr"/>
      <c r="F197" s="37" t="inlineStr">
        <is>
          <t>国内带</t>
        </is>
      </c>
      <c r="G197" s="37" t="n"/>
      <c r="H197" s="37" t="n"/>
      <c r="I197" s="39" t="inlineStr">
        <is>
          <t>Panadol 在新加坡是非处方药，校内药店可买，不带也行（小红书 @杂菜饭主理人「25fall新硕留子の开学清单」868赞，NTU 专属，2026-09）</t>
        </is>
      </c>
      <c r="J197" s="36" t="n"/>
    </row>
    <row r="198">
      <c r="A198" s="36" t="inlineStr">
        <is>
          <t>药品医疗</t>
        </is>
      </c>
      <c r="B198" s="37" t="inlineStr">
        <is>
          <t>T-7 出发前一周</t>
        </is>
      </c>
      <c r="C198" s="38" t="inlineStr">
        <is>
          <t>抗过敏：氯雷他定</t>
        </is>
      </c>
      <c r="D198" s="37" t="inlineStr">
        <is>
          <t>未完成</t>
        </is>
      </c>
      <c r="E198" s="37" t="inlineStr">
        <is>
          <t>是</t>
        </is>
      </c>
      <c r="F198" s="37" t="inlineStr">
        <is>
          <t>国内带</t>
        </is>
      </c>
      <c r="G198" s="37" t="n"/>
      <c r="H198" s="37" t="n"/>
      <c r="I198" s="39" t="inlineStr">
        <is>
          <t>小红书 @frjinnfaerei「26fall行李进度50%」459赞，2026-09 清单第 1 位</t>
        </is>
      </c>
      <c r="J198" s="36" t="n"/>
    </row>
    <row r="199">
      <c r="A199" s="36" t="inlineStr">
        <is>
          <t>药品医疗</t>
        </is>
      </c>
      <c r="B199" s="37" t="inlineStr">
        <is>
          <t>T-7 出发前一周</t>
        </is>
      </c>
      <c r="C199" s="38" t="inlineStr">
        <is>
          <t>感冒药</t>
        </is>
      </c>
      <c r="D199" s="37" t="inlineStr">
        <is>
          <t>未完成</t>
        </is>
      </c>
      <c r="E199" s="37" t="inlineStr">
        <is>
          <t>是</t>
        </is>
      </c>
      <c r="F199" s="37" t="inlineStr">
        <is>
          <t>国内带</t>
        </is>
      </c>
      <c r="G199" s="37" t="n"/>
      <c r="H199" s="37" t="n"/>
      <c r="I199" s="39" t="inlineStr">
        <is>
          <t>避开含麻黄碱成分的品类；具体某盒是否含，待核实</t>
        </is>
      </c>
      <c r="J199" s="36" t="n"/>
    </row>
    <row r="200">
      <c r="A200" s="36" t="inlineStr">
        <is>
          <t>药品医疗</t>
        </is>
      </c>
      <c r="B200" s="37" t="inlineStr">
        <is>
          <t>T-7 出发前一周</t>
        </is>
      </c>
      <c r="C200" s="38" t="inlineStr">
        <is>
          <t>止泻：蒙脱石散</t>
        </is>
      </c>
      <c r="D200" s="37" t="inlineStr">
        <is>
          <t>未完成</t>
        </is>
      </c>
      <c r="E200" s="37" t="inlineStr">
        <is>
          <t>是</t>
        </is>
      </c>
      <c r="F200" s="37" t="inlineStr">
        <is>
          <t>国内带</t>
        </is>
      </c>
      <c r="G200" s="37" t="n"/>
      <c r="H200" s="37" t="n"/>
      <c r="I200" s="39" t="inlineStr">
        <is>
          <t>小红书 @frjinnfaerei「26fall行李进度50%」459赞，2026-09、小红书 @krsttt「NUS j人留子 行前准备」733赞，2026-09 都带了</t>
        </is>
      </c>
      <c r="J200" s="36" t="n"/>
    </row>
    <row r="201">
      <c r="A201" s="36" t="inlineStr">
        <is>
          <t>药品医疗</t>
        </is>
      </c>
      <c r="B201" s="37" t="inlineStr">
        <is>
          <t>T-7 出发前一周</t>
        </is>
      </c>
      <c r="C201" s="38" t="inlineStr">
        <is>
          <t>黄连素</t>
        </is>
      </c>
      <c r="D201" s="37" t="inlineStr">
        <is>
          <t>未完成</t>
        </is>
      </c>
      <c r="E201" s="37" t="inlineStr"/>
      <c r="F201" s="37" t="inlineStr">
        <is>
          <t>国内带</t>
        </is>
      </c>
      <c r="G201" s="37" t="n"/>
      <c r="H201" s="37" t="n"/>
      <c r="I201" s="39" t="inlineStr">
        <is>
          <t>小红书 @krsttt「NUS j人留子 行前准备」733赞，2026-09 列了</t>
        </is>
      </c>
      <c r="J201" s="36" t="n"/>
    </row>
    <row r="202">
      <c r="A202" s="36" t="inlineStr">
        <is>
          <t>药品医疗</t>
        </is>
      </c>
      <c r="B202" s="37" t="inlineStr">
        <is>
          <t>T-7 出发前一周</t>
        </is>
      </c>
      <c r="C202" s="38" t="inlineStr">
        <is>
          <t>健胃消食片</t>
        </is>
      </c>
      <c r="D202" s="37" t="inlineStr">
        <is>
          <t>未完成</t>
        </is>
      </c>
      <c r="E202" s="37" t="inlineStr"/>
      <c r="F202" s="37" t="inlineStr">
        <is>
          <t>国内带</t>
        </is>
      </c>
      <c r="G202" s="37" t="n"/>
      <c r="H202" s="37" t="n"/>
      <c r="I202" s="39" t="inlineStr">
        <is>
          <t>小红书 @krsttt「NUS j人留子 行前准备」733赞，2026-09 列了</t>
        </is>
      </c>
      <c r="J202" s="36" t="n"/>
    </row>
    <row r="203">
      <c r="A203" s="36" t="inlineStr">
        <is>
          <t>药品医疗</t>
        </is>
      </c>
      <c r="B203" s="37" t="inlineStr">
        <is>
          <t>T-7 出发前一周</t>
        </is>
      </c>
      <c r="C203" s="38" t="inlineStr">
        <is>
          <t>胃药：达喜</t>
        </is>
      </c>
      <c r="D203" s="37" t="inlineStr">
        <is>
          <t>未完成</t>
        </is>
      </c>
      <c r="E203" s="37" t="inlineStr"/>
      <c r="F203" s="37" t="inlineStr">
        <is>
          <t>国内带</t>
        </is>
      </c>
      <c r="G203" s="37" t="n"/>
      <c r="H203" s="37" t="n"/>
      <c r="I203" s="39" t="inlineStr">
        <is>
          <t>小红书 @frjinnfaerei「26fall行李进度50%」459赞，2026-09 列了</t>
        </is>
      </c>
      <c r="J203" s="36" t="n"/>
    </row>
    <row r="204">
      <c r="A204" s="36" t="inlineStr">
        <is>
          <t>药品医疗</t>
        </is>
      </c>
      <c r="B204" s="37" t="inlineStr">
        <is>
          <t>T-7 出发前一周</t>
        </is>
      </c>
      <c r="C204" s="38" t="inlineStr">
        <is>
          <t>口腔溃疡药</t>
        </is>
      </c>
      <c r="D204" s="37" t="inlineStr">
        <is>
          <t>未完成</t>
        </is>
      </c>
      <c r="E204" s="37" t="inlineStr"/>
      <c r="F204" s="37" t="inlineStr">
        <is>
          <t>国内带</t>
        </is>
      </c>
      <c r="G204" s="37" t="n"/>
      <c r="H204" s="37" t="n"/>
      <c r="I204" s="39" t="inlineStr"/>
      <c r="J204" s="36" t="n"/>
    </row>
    <row r="205">
      <c r="A205" s="36" t="inlineStr">
        <is>
          <t>药品医疗</t>
        </is>
      </c>
      <c r="B205" s="37" t="inlineStr">
        <is>
          <t>T-7 出发前一周</t>
        </is>
      </c>
      <c r="C205" s="38" t="inlineStr">
        <is>
          <t>眼药水 / 人工泪液</t>
        </is>
      </c>
      <c r="D205" s="37" t="inlineStr">
        <is>
          <t>未完成</t>
        </is>
      </c>
      <c r="E205" s="37" t="inlineStr"/>
      <c r="F205" s="37" t="inlineStr">
        <is>
          <t>国内带</t>
        </is>
      </c>
      <c r="G205" s="37" t="n"/>
      <c r="H205" s="37" t="n"/>
      <c r="I205" s="39" t="inlineStr">
        <is>
          <t>外用药限制较少</t>
        </is>
      </c>
      <c r="J205" s="36" t="n"/>
    </row>
    <row r="206">
      <c r="A206" s="36" t="inlineStr">
        <is>
          <t>药品医疗</t>
        </is>
      </c>
      <c r="B206" s="37" t="inlineStr">
        <is>
          <t>T-7 出发前一周</t>
        </is>
      </c>
      <c r="C206" s="38" t="inlineStr">
        <is>
          <t>红霉素软膏</t>
        </is>
      </c>
      <c r="D206" s="37" t="inlineStr">
        <is>
          <t>未完成</t>
        </is>
      </c>
      <c r="E206" s="37" t="inlineStr"/>
      <c r="F206" s="37" t="inlineStr">
        <is>
          <t>国内带</t>
        </is>
      </c>
      <c r="G206" s="37" t="n"/>
      <c r="H206" s="37" t="n"/>
      <c r="I206" s="39" t="inlineStr">
        <is>
          <t>小红书 @krsttt「NUS j人留子 行前准备」733赞，2026-09 列了</t>
        </is>
      </c>
      <c r="J206" s="36" t="n"/>
    </row>
    <row r="207">
      <c r="A207" s="36" t="inlineStr">
        <is>
          <t>药品医疗</t>
        </is>
      </c>
      <c r="B207" s="37" t="inlineStr">
        <is>
          <t>T-7 出发前一周</t>
        </is>
      </c>
      <c r="C207" s="38" t="inlineStr">
        <is>
          <t>创可贴</t>
        </is>
      </c>
      <c r="D207" s="37" t="inlineStr">
        <is>
          <t>未完成</t>
        </is>
      </c>
      <c r="E207" s="37" t="inlineStr">
        <is>
          <t>是</t>
        </is>
      </c>
      <c r="F207" s="37" t="inlineStr">
        <is>
          <t>国内带</t>
        </is>
      </c>
      <c r="G207" s="37" t="n"/>
      <c r="H207" s="37" t="n"/>
      <c r="I207" s="39" t="inlineStr"/>
      <c r="J207" s="36" t="n"/>
    </row>
    <row r="208">
      <c r="A208" s="36" t="inlineStr">
        <is>
          <t>药品医疗</t>
        </is>
      </c>
      <c r="B208" s="37" t="inlineStr">
        <is>
          <t>T-7 出发前一周</t>
        </is>
      </c>
      <c r="C208" s="38" t="inlineStr">
        <is>
          <t>碘伏棉签</t>
        </is>
      </c>
      <c r="D208" s="37" t="inlineStr">
        <is>
          <t>未完成</t>
        </is>
      </c>
      <c r="E208" s="37" t="inlineStr"/>
      <c r="F208" s="37" t="inlineStr">
        <is>
          <t>国内带</t>
        </is>
      </c>
      <c r="G208" s="37" t="n"/>
      <c r="H208" s="37" t="n"/>
      <c r="I208" s="39" t="inlineStr"/>
      <c r="J208" s="36" t="n"/>
    </row>
    <row r="209">
      <c r="A209" s="36" t="inlineStr">
        <is>
          <t>药品医疗</t>
        </is>
      </c>
      <c r="B209" s="37" t="inlineStr">
        <is>
          <t>T-7 出发前一周</t>
        </is>
      </c>
      <c r="C209" s="38" t="inlineStr">
        <is>
          <t>止痛贴膏（氟比洛芬凝胶贴膏等）</t>
        </is>
      </c>
      <c r="D209" s="37" t="inlineStr">
        <is>
          <t>未完成</t>
        </is>
      </c>
      <c r="E209" s="37" t="inlineStr"/>
      <c r="F209" s="37" t="inlineStr">
        <is>
          <t>国内带</t>
        </is>
      </c>
      <c r="G209" s="37" t="n"/>
      <c r="H209" s="37" t="n"/>
      <c r="I209" s="39" t="inlineStr">
        <is>
          <t>小红书 @frjinnfaerei「26fall行李进度50%」459赞，2026-09 带了</t>
        </is>
      </c>
      <c r="J209" s="36" t="n"/>
    </row>
    <row r="210">
      <c r="A210" s="36" t="inlineStr">
        <is>
          <t>药品医疗</t>
        </is>
      </c>
      <c r="B210" s="37" t="inlineStr">
        <is>
          <t>T-7 出发前一周</t>
        </is>
      </c>
      <c r="C210" s="38" t="inlineStr">
        <is>
          <t>云南白药气雾剂</t>
        </is>
      </c>
      <c r="D210" s="37" t="inlineStr">
        <is>
          <t>未完成</t>
        </is>
      </c>
      <c r="E210" s="37" t="inlineStr"/>
      <c r="F210" s="37" t="inlineStr">
        <is>
          <t>国内带</t>
        </is>
      </c>
      <c r="G210" s="37" t="n"/>
      <c r="H210" s="37" t="n"/>
      <c r="I210" s="39" t="inlineStr">
        <is>
          <t>小红书 @frjinnfaerei「26fall行李进度50%」459赞，2026-09 带了。⚠️ 属中成药，成分自己核一下</t>
        </is>
      </c>
      <c r="J210" s="36" t="n"/>
    </row>
    <row r="211">
      <c r="A211" s="36" t="inlineStr">
        <is>
          <t>药品医疗</t>
        </is>
      </c>
      <c r="B211" s="37" t="inlineStr">
        <is>
          <t>T-7 出发前一周</t>
        </is>
      </c>
      <c r="C211" s="38" t="inlineStr">
        <is>
          <t>鼻塞喷鼻剂</t>
        </is>
      </c>
      <c r="D211" s="37" t="inlineStr">
        <is>
          <t>未完成</t>
        </is>
      </c>
      <c r="E211" s="37" t="inlineStr"/>
      <c r="F211" s="37" t="inlineStr">
        <is>
          <t>国内带</t>
        </is>
      </c>
      <c r="G211" s="37" t="n"/>
      <c r="H211" s="37" t="n"/>
      <c r="I211" s="39" t="inlineStr">
        <is>
          <t>小红书 @krsttt「NUS j人留子 行前准备」733赞，2026-09 列了</t>
        </is>
      </c>
      <c r="J211" s="36" t="n"/>
    </row>
    <row r="212">
      <c r="A212" s="36" t="inlineStr">
        <is>
          <t>药品医疗</t>
        </is>
      </c>
      <c r="B212" s="37" t="inlineStr">
        <is>
          <t>T-7 出发前一周</t>
        </is>
      </c>
      <c r="C212" s="38" t="inlineStr">
        <is>
          <t>发烧贴</t>
        </is>
      </c>
      <c r="D212" s="37" t="inlineStr">
        <is>
          <t>未完成</t>
        </is>
      </c>
      <c r="E212" s="37" t="inlineStr"/>
      <c r="F212" s="37" t="inlineStr">
        <is>
          <t>国内带</t>
        </is>
      </c>
      <c r="G212" s="37" t="n"/>
      <c r="H212" s="37" t="n"/>
      <c r="I212" s="39" t="inlineStr"/>
      <c r="J212" s="36" t="n"/>
    </row>
    <row r="213">
      <c r="A213" s="36" t="inlineStr">
        <is>
          <t>药品医疗</t>
        </is>
      </c>
      <c r="B213" s="37" t="inlineStr">
        <is>
          <t>T-7 出发前一周</t>
        </is>
      </c>
      <c r="C213" s="38" t="inlineStr">
        <is>
          <t>抗生素（头孢等）</t>
        </is>
      </c>
      <c r="D213" s="37" t="inlineStr">
        <is>
          <t>未完成</t>
        </is>
      </c>
      <c r="E213" s="37" t="inlineStr"/>
      <c r="F213" s="37" t="inlineStr">
        <is>
          <t>国内带</t>
        </is>
      </c>
      <c r="G213" s="37" t="n"/>
      <c r="H213" s="37" t="n"/>
      <c r="I213" s="39" t="inlineStr">
        <is>
          <t>⚠️ 处方药，务必带英文处方，别散装带</t>
        </is>
      </c>
      <c r="J213" s="36" t="n"/>
    </row>
    <row r="214">
      <c r="A214" s="36" t="inlineStr">
        <is>
          <t>药品医疗</t>
        </is>
      </c>
      <c r="B214" s="37" t="inlineStr">
        <is>
          <t>T-7 出发前一周</t>
        </is>
      </c>
      <c r="C214" s="38" t="inlineStr">
        <is>
          <t>甲硝唑</t>
        </is>
      </c>
      <c r="D214" s="37" t="inlineStr">
        <is>
          <t>未完成</t>
        </is>
      </c>
      <c r="E214" s="37" t="inlineStr"/>
      <c r="F214" s="37" t="inlineStr">
        <is>
          <t>国内带</t>
        </is>
      </c>
      <c r="G214" s="37" t="n"/>
      <c r="H214" s="37" t="n"/>
      <c r="I214" s="39" t="inlineStr">
        <is>
          <t>⚠️ 处方药，同上（小红书 @frjinnfaerei「26fall行李进度50%」459赞，2026-09 列了）</t>
        </is>
      </c>
      <c r="J214" s="36" t="n"/>
    </row>
    <row r="215">
      <c r="A215" s="36" t="inlineStr">
        <is>
          <t>药品医疗</t>
        </is>
      </c>
      <c r="B215" s="37" t="inlineStr">
        <is>
          <t>T-7 出发前一周</t>
        </is>
      </c>
      <c r="C215" s="38" t="inlineStr">
        <is>
          <t>蓝芩口服液 / 板蓝根</t>
        </is>
      </c>
      <c r="D215" s="37" t="inlineStr">
        <is>
          <t>未完成</t>
        </is>
      </c>
      <c r="E215" s="37" t="inlineStr"/>
      <c r="F215" s="37" t="inlineStr">
        <is>
          <t>国内带</t>
        </is>
      </c>
      <c r="G215" s="37" t="n"/>
      <c r="H215" s="37" t="n"/>
      <c r="I215" s="39" t="inlineStr">
        <is>
          <t>小红书 @frjinnfaerei「26fall行李进度50%」459赞，2026-09 带了。⚠️ 中成药，入境风险自己核，不确定就别带</t>
        </is>
      </c>
      <c r="J215" s="36" t="n"/>
    </row>
    <row r="216">
      <c r="A216" s="36" t="inlineStr">
        <is>
          <t>药品医疗</t>
        </is>
      </c>
      <c r="B216" s="37" t="inlineStr">
        <is>
          <t>T-7 出发前一周</t>
        </is>
      </c>
      <c r="C216" s="38" t="inlineStr">
        <is>
          <t>连花清瘟</t>
        </is>
      </c>
      <c r="D216" s="37" t="inlineStr">
        <is>
          <t>未完成</t>
        </is>
      </c>
      <c r="E216" s="37" t="inlineStr"/>
      <c r="F216" s="37" t="inlineStr">
        <is>
          <t>国内带</t>
        </is>
      </c>
      <c r="G216" s="37" t="n"/>
      <c r="H216" s="37" t="n"/>
      <c r="I216" s="39" t="inlineStr">
        <is>
          <t>小红书 @krsttt「NUS j人留子 行前准备」733赞，2026-09 带了。⚠️ 同上，中成药自查成分</t>
        </is>
      </c>
      <c r="J216" s="36" t="n"/>
    </row>
    <row r="217">
      <c r="A217" s="36" t="inlineStr">
        <is>
          <t>药品医疗</t>
        </is>
      </c>
      <c r="B217" s="37" t="inlineStr">
        <is>
          <t>T-7 出发前一周</t>
        </is>
      </c>
      <c r="C217" s="38" t="inlineStr">
        <is>
          <t>晕车药</t>
        </is>
      </c>
      <c r="D217" s="37" t="inlineStr">
        <is>
          <t>未完成</t>
        </is>
      </c>
      <c r="E217" s="37" t="inlineStr"/>
      <c r="F217" s="37" t="inlineStr">
        <is>
          <t>国内带</t>
        </is>
      </c>
      <c r="G217" s="37" t="n"/>
      <c r="H217" s="37" t="n"/>
      <c r="I217" s="39" t="inlineStr"/>
      <c r="J217" s="36" t="n"/>
    </row>
    <row r="218">
      <c r="A218" s="36" t="inlineStr">
        <is>
          <t>药品医疗</t>
        </is>
      </c>
      <c r="B218" s="37" t="inlineStr">
        <is>
          <t>T-7 出发前一周</t>
        </is>
      </c>
      <c r="C218" s="38" t="inlineStr">
        <is>
          <t>体温计</t>
        </is>
      </c>
      <c r="D218" s="37" t="inlineStr">
        <is>
          <t>未完成</t>
        </is>
      </c>
      <c r="E218" s="37" t="inlineStr"/>
      <c r="F218" s="37" t="inlineStr">
        <is>
          <t>国内带</t>
        </is>
      </c>
      <c r="G218" s="37" t="n"/>
      <c r="H218" s="37" t="n"/>
      <c r="I218" s="39" t="inlineStr"/>
      <c r="J218" s="36" t="n"/>
    </row>
    <row r="219">
      <c r="A219" s="36" t="inlineStr">
        <is>
          <t>药品医疗</t>
        </is>
      </c>
      <c r="B219" s="37" t="inlineStr">
        <is>
          <t>T-7 出发前一周</t>
        </is>
      </c>
      <c r="C219" s="38" t="inlineStr">
        <is>
          <t>卫生巾 / 棉条 带 1–2 个月过渡量</t>
        </is>
      </c>
      <c r="D219" s="37" t="inlineStr">
        <is>
          <t>未完成</t>
        </is>
      </c>
      <c r="E219" s="37" t="inlineStr"/>
      <c r="F219" s="37" t="inlineStr">
        <is>
          <t>国内带</t>
        </is>
      </c>
      <c r="G219" s="37" t="n"/>
      <c r="H219" s="37" t="n"/>
      <c r="I219" s="39" t="inlineStr">
        <is>
          <t>小红书 @明天会下雨吗？「新加坡留学之什么真的该带」576赞，2026-09：楼下商超有很便宜的，不用大量囤</t>
        </is>
      </c>
      <c r="J219" s="36" t="n"/>
    </row>
    <row r="220">
      <c r="A220" s="36" t="inlineStr">
        <is>
          <t>药品医疗</t>
        </is>
      </c>
      <c r="B220" s="37" t="inlineStr">
        <is>
          <t>T-7 出发前一周</t>
        </is>
      </c>
      <c r="C220" s="38" t="inlineStr">
        <is>
          <t>个人长期用药按 3 个月量准备</t>
        </is>
      </c>
      <c r="D220" s="37" t="inlineStr">
        <is>
          <t>未完成</t>
        </is>
      </c>
      <c r="E220" s="37" t="inlineStr">
        <is>
          <t>是</t>
        </is>
      </c>
      <c r="F220" s="37" t="inlineStr">
        <is>
          <t>国内带</t>
        </is>
      </c>
      <c r="G220" s="37" t="n"/>
      <c r="H220" s="37" t="n"/>
      <c r="I220" s="39" t="inlineStr"/>
      <c r="J220" s="36" t="n"/>
    </row>
    <row r="221">
      <c r="A221" s="36" t="inlineStr">
        <is>
          <t>药品医疗</t>
        </is>
      </c>
      <c r="B221" s="37" t="inlineStr">
        <is>
          <t>T-60+ 两个月前</t>
        </is>
      </c>
      <c r="C221" s="38" t="inlineStr">
        <is>
          <t>出国前看牙 + 洗牙</t>
        </is>
      </c>
      <c r="D221" s="37" t="inlineStr">
        <is>
          <t>未完成</t>
        </is>
      </c>
      <c r="E221" s="37" t="inlineStr">
        <is>
          <t>是</t>
        </is>
      </c>
      <c r="F221" s="37" t="inlineStr"/>
      <c r="G221" s="37" t="n"/>
      <c r="H221" s="37" t="n"/>
      <c r="I221" s="39" t="inlineStr">
        <is>
          <t>新加坡牙科很贵，补牙拔牙尽量在国内解决</t>
        </is>
      </c>
      <c r="J221" s="36" t="n"/>
    </row>
    <row r="222">
      <c r="A222" s="36" t="inlineStr">
        <is>
          <t>药品医疗</t>
        </is>
      </c>
      <c r="B222" s="37" t="inlineStr">
        <is>
          <t>T-60+ 两个月前</t>
        </is>
      </c>
      <c r="C222" s="38" t="inlineStr">
        <is>
          <t>配备用眼镜 1–2 副</t>
        </is>
      </c>
      <c r="D222" s="37" t="inlineStr">
        <is>
          <t>未完成</t>
        </is>
      </c>
      <c r="E222" s="37" t="inlineStr">
        <is>
          <t>是</t>
        </is>
      </c>
      <c r="F222" s="37" t="inlineStr">
        <is>
          <t>国内带</t>
        </is>
      </c>
      <c r="G222" s="37" t="n"/>
      <c r="H222" s="37" t="n"/>
      <c r="I222" s="39" t="inlineStr">
        <is>
          <t>NTU 附近验光 + 配镜约 100–300 新（小红书 @杂菜饭主理人「25fall新硕留子の开学清单」868赞，NTU 专属，2026-09）</t>
        </is>
      </c>
      <c r="J222" s="36" t="n"/>
    </row>
    <row r="223">
      <c r="A223" s="36" t="inlineStr">
        <is>
          <t>药品医疗</t>
        </is>
      </c>
      <c r="B223" s="37" t="inlineStr">
        <is>
          <t>T-7 出发前一周</t>
        </is>
      </c>
      <c r="C223" s="38" t="inlineStr">
        <is>
          <t>OK 镜 / 牙套及护理套装（如有）</t>
        </is>
      </c>
      <c r="D223" s="37" t="inlineStr">
        <is>
          <t>未完成</t>
        </is>
      </c>
      <c r="E223" s="37" t="inlineStr"/>
      <c r="F223" s="37" t="inlineStr">
        <is>
          <t>国内带</t>
        </is>
      </c>
      <c r="G223" s="37" t="n"/>
      <c r="H223" s="37" t="n"/>
      <c r="I223" s="39" t="inlineStr">
        <is>
          <t>小红书 @krsttt「NUS j人留子 行前准备」733赞，2026-09 列了</t>
        </is>
      </c>
      <c r="J223" s="36" t="n"/>
    </row>
    <row r="224">
      <c r="A224" s="36" t="inlineStr">
        <is>
          <t>药品医疗</t>
        </is>
      </c>
      <c r="B224" s="37" t="inlineStr">
        <is>
          <t>W1 第一周</t>
        </is>
      </c>
      <c r="C224" s="38" t="inlineStr">
        <is>
          <t>记下 NTU Medical Centre / Fullerton Health @NTU 位置和电话</t>
        </is>
      </c>
      <c r="D224" s="37" t="inlineStr">
        <is>
          <t>未完成</t>
        </is>
      </c>
      <c r="E224" s="37" t="inlineStr"/>
      <c r="F224" s="37" t="inlineStr"/>
      <c r="G224" s="37" t="n"/>
      <c r="H224" s="37" t="n"/>
      <c r="I224" s="39" t="inlineStr"/>
      <c r="J224" s="36" t="n"/>
    </row>
    <row r="225">
      <c r="A225" s="36" t="inlineStr">
        <is>
          <t>药品医疗</t>
        </is>
      </c>
      <c r="B225" s="37" t="inlineStr">
        <is>
          <t>W1 第一周</t>
        </is>
      </c>
      <c r="C225" s="38" t="inlineStr">
        <is>
          <t>登革热防护：驱蚊 + 家里不留积水</t>
        </is>
      </c>
      <c r="D225" s="37" t="inlineStr">
        <is>
          <t>未完成</t>
        </is>
      </c>
      <c r="E225" s="37" t="inlineStr"/>
      <c r="F225" s="37" t="inlineStr"/>
      <c r="G225" s="37" t="n"/>
      <c r="H225" s="37" t="n"/>
      <c r="I225" s="39" t="inlineStr"/>
      <c r="J225" s="36" t="n"/>
    </row>
    <row r="226">
      <c r="A226" s="36" t="inlineStr">
        <is>
          <t>食 · 厨房调料</t>
        </is>
      </c>
      <c r="B226" s="37" t="inlineStr">
        <is>
          <t>T-7 出发前一周</t>
        </is>
      </c>
      <c r="C226" s="38" t="inlineStr">
        <is>
          <t>保温杯</t>
        </is>
      </c>
      <c r="D226" s="37" t="inlineStr">
        <is>
          <t>未完成</t>
        </is>
      </c>
      <c r="E226" s="37" t="inlineStr">
        <is>
          <t>是</t>
        </is>
      </c>
      <c r="F226" s="37" t="inlineStr">
        <is>
          <t>国内带</t>
        </is>
      </c>
      <c r="G226" s="37" t="n"/>
      <c r="H226" s="37" t="n"/>
      <c r="I226" s="39" t="inlineStr">
        <is>
          <t>NTU 教学楼、图书馆有直饮水，接水方便；新加坡买保温杯选择少且贵（小红书 @杂菜饭主理人「25fall新硕留子の开学清单」868赞，NTU 专属，2026-09）</t>
        </is>
      </c>
      <c r="J226" s="36" t="n"/>
    </row>
    <row r="227">
      <c r="A227" s="36" t="inlineStr">
        <is>
          <t>食 · 厨房调料</t>
        </is>
      </c>
      <c r="B227" s="37" t="inlineStr">
        <is>
          <t>T-7 出发前一周</t>
        </is>
      </c>
      <c r="C227" s="38" t="inlineStr">
        <is>
          <t>水杯 / 随行杯</t>
        </is>
      </c>
      <c r="D227" s="37" t="inlineStr">
        <is>
          <t>未完成</t>
        </is>
      </c>
      <c r="E227" s="37" t="inlineStr"/>
      <c r="F227" s="37" t="inlineStr">
        <is>
          <t>国内带</t>
        </is>
      </c>
      <c r="G227" s="37" t="n"/>
      <c r="H227" s="37" t="n"/>
      <c r="I227" s="39" t="inlineStr"/>
      <c r="J227" s="36" t="n"/>
    </row>
    <row r="228">
      <c r="A228" s="36" t="inlineStr">
        <is>
          <t>食 · 厨房调料</t>
        </is>
      </c>
      <c r="B228" s="37" t="inlineStr">
        <is>
          <t>T-7 出发前一周</t>
        </is>
      </c>
      <c r="C228" s="38" t="inlineStr">
        <is>
          <t>⚠️ 先搞清食品入境规定</t>
        </is>
      </c>
      <c r="D228" s="37" t="inlineStr">
        <is>
          <t>未完成</t>
        </is>
      </c>
      <c r="E228" s="37" t="inlineStr">
        <is>
          <t>是</t>
        </is>
      </c>
      <c r="F228" s="37" t="inlineStr"/>
      <c r="G228" s="37" t="n"/>
      <c r="H228" s="37" t="n"/>
      <c r="I228" s="39" t="inlineStr">
        <is>
          <t>肉类制品限量且需许可，口香糖禁带。别带真空包装肉、腊味、肉松碰运气</t>
        </is>
      </c>
      <c r="J228" s="36" t="n"/>
    </row>
    <row r="229">
      <c r="A229" s="36" t="inlineStr">
        <is>
          <t>食 · 厨房调料</t>
        </is>
      </c>
      <c r="B229" s="37" t="inlineStr">
        <is>
          <t>T-7 出发前一周</t>
        </is>
      </c>
      <c r="C229" s="38" t="inlineStr">
        <is>
          <t>素火锅底料</t>
        </is>
      </c>
      <c r="D229" s="37" t="inlineStr">
        <is>
          <t>未完成</t>
        </is>
      </c>
      <c r="E229" s="37" t="inlineStr"/>
      <c r="F229" s="37" t="inlineStr">
        <is>
          <t>国内带</t>
        </is>
      </c>
      <c r="G229" s="37" t="n"/>
      <c r="H229" s="37" t="n"/>
      <c r="I229" s="39" t="inlineStr">
        <is>
          <t>看清配料表有没有肉类成分</t>
        </is>
      </c>
      <c r="J229" s="36" t="n"/>
    </row>
    <row r="230">
      <c r="A230" s="36" t="inlineStr">
        <is>
          <t>食 · 厨房调料</t>
        </is>
      </c>
      <c r="B230" s="37" t="inlineStr">
        <is>
          <t>T-7 出发前一周</t>
        </is>
      </c>
      <c r="C230" s="38" t="inlineStr">
        <is>
          <t>辣椒酱 / 老干妈</t>
        </is>
      </c>
      <c r="D230" s="37" t="inlineStr">
        <is>
          <t>未完成</t>
        </is>
      </c>
      <c r="E230" s="37" t="inlineStr"/>
      <c r="F230" s="37" t="inlineStr">
        <is>
          <t>国内带</t>
        </is>
      </c>
      <c r="G230" s="37" t="n"/>
      <c r="H230" s="37" t="n"/>
      <c r="I230" s="39" t="inlineStr"/>
      <c r="J230" s="36" t="n"/>
    </row>
    <row r="231">
      <c r="A231" s="36" t="inlineStr">
        <is>
          <t>食 · 厨房调料</t>
        </is>
      </c>
      <c r="B231" s="37" t="inlineStr">
        <is>
          <t>T-7 出发前一周</t>
        </is>
      </c>
      <c r="C231" s="38" t="inlineStr">
        <is>
          <t>花椒、八角、干辣椒等干货香料</t>
        </is>
      </c>
      <c r="D231" s="37" t="inlineStr">
        <is>
          <t>未完成</t>
        </is>
      </c>
      <c r="E231" s="37" t="inlineStr"/>
      <c r="F231" s="37" t="inlineStr">
        <is>
          <t>国内带</t>
        </is>
      </c>
      <c r="G231" s="37" t="n"/>
      <c r="H231" s="37" t="n"/>
      <c r="I231" s="39" t="inlineStr"/>
      <c r="J231" s="36" t="n"/>
    </row>
    <row r="232">
      <c r="A232" s="36" t="inlineStr">
        <is>
          <t>食 · 厨房调料</t>
        </is>
      </c>
      <c r="B232" s="37" t="inlineStr">
        <is>
          <t>T-7 出发前一周</t>
        </is>
      </c>
      <c r="C232" s="38" t="inlineStr">
        <is>
          <t>孜然、十三香等调味料包</t>
        </is>
      </c>
      <c r="D232" s="37" t="inlineStr">
        <is>
          <t>未完成</t>
        </is>
      </c>
      <c r="E232" s="37" t="inlineStr"/>
      <c r="F232" s="37" t="inlineStr">
        <is>
          <t>国内带</t>
        </is>
      </c>
      <c r="G232" s="37" t="n"/>
      <c r="H232" s="37" t="n"/>
      <c r="I232" s="39" t="inlineStr"/>
      <c r="J232" s="36" t="n"/>
    </row>
    <row r="233">
      <c r="A233" s="36" t="inlineStr">
        <is>
          <t>食 · 厨房调料</t>
        </is>
      </c>
      <c r="B233" s="37" t="inlineStr">
        <is>
          <t>T-7 出发前一周</t>
        </is>
      </c>
      <c r="C233" s="38" t="inlineStr">
        <is>
          <t>螺蛳粉 / 方便食品 少量应急</t>
        </is>
      </c>
      <c r="D233" s="37" t="inlineStr">
        <is>
          <t>未完成</t>
        </is>
      </c>
      <c r="E233" s="37" t="inlineStr"/>
      <c r="F233" s="37" t="inlineStr">
        <is>
          <t>国内带</t>
        </is>
      </c>
      <c r="G233" s="37" t="n"/>
      <c r="H233" s="37" t="n"/>
      <c r="I233" s="39" t="inlineStr">
        <is>
          <t>⚠️ 看配料包里有没有肉；落地头两天不一定有空做饭</t>
        </is>
      </c>
      <c r="J233" s="36" t="n"/>
    </row>
    <row r="234">
      <c r="A234" s="36" t="inlineStr">
        <is>
          <t>食 · 厨房调料</t>
        </is>
      </c>
      <c r="B234" s="37" t="inlineStr">
        <is>
          <t>T-7 出发前一周</t>
        </is>
      </c>
      <c r="C234" s="38" t="inlineStr">
        <is>
          <t>筷子 + 勺子 + 叉子</t>
        </is>
      </c>
      <c r="D234" s="37" t="inlineStr">
        <is>
          <t>未完成</t>
        </is>
      </c>
      <c r="E234" s="37" t="inlineStr"/>
      <c r="F234" s="37" t="inlineStr">
        <is>
          <t>国内带</t>
        </is>
      </c>
      <c r="G234" s="37" t="n"/>
      <c r="H234" s="37" t="n"/>
      <c r="I234" s="39" t="inlineStr"/>
      <c r="J234" s="36" t="n"/>
    </row>
    <row r="235">
      <c r="A235" s="36" t="inlineStr">
        <is>
          <t>食 · 厨房调料</t>
        </is>
      </c>
      <c r="B235" s="37" t="inlineStr">
        <is>
          <t>T-7 出发前一周</t>
        </is>
      </c>
      <c r="C235" s="38" t="inlineStr">
        <is>
          <t>饭盒</t>
        </is>
      </c>
      <c r="D235" s="37" t="inlineStr">
        <is>
          <t>未完成</t>
        </is>
      </c>
      <c r="E235" s="37" t="inlineStr"/>
      <c r="F235" s="37" t="inlineStr">
        <is>
          <t>国内带</t>
        </is>
      </c>
      <c r="G235" s="37" t="n"/>
      <c r="H235" s="37" t="n"/>
      <c r="I235" s="39" t="inlineStr">
        <is>
          <t>自己带饭省钱</t>
        </is>
      </c>
      <c r="J235" s="36" t="n"/>
    </row>
    <row r="236">
      <c r="A236" s="36" t="inlineStr">
        <is>
          <t>食 · 厨房调料</t>
        </is>
      </c>
      <c r="B236" s="37" t="inlineStr">
        <is>
          <t>T-7 出发前一周</t>
        </is>
      </c>
      <c r="C236" s="38" t="inlineStr">
        <is>
          <t>焖烧杯（可选）</t>
        </is>
      </c>
      <c r="D236" s="37" t="inlineStr">
        <is>
          <t>未完成</t>
        </is>
      </c>
      <c r="E236" s="37" t="inlineStr"/>
      <c r="F236" s="37" t="inlineStr">
        <is>
          <t>国内带</t>
        </is>
      </c>
      <c r="G236" s="37" t="n"/>
      <c r="H236" s="37" t="n"/>
      <c r="I236" s="39" t="inlineStr"/>
      <c r="J236" s="36" t="n"/>
    </row>
    <row r="237">
      <c r="A237" s="36" t="inlineStr">
        <is>
          <t>食 · 厨房调料</t>
        </is>
      </c>
      <c r="B237" s="37" t="inlineStr">
        <is>
          <t>T-7 出发前一周</t>
        </is>
      </c>
      <c r="C237" s="38" t="inlineStr">
        <is>
          <t>削皮刀</t>
        </is>
      </c>
      <c r="D237" s="37" t="inlineStr">
        <is>
          <t>未完成</t>
        </is>
      </c>
      <c r="E237" s="37" t="inlineStr"/>
      <c r="F237" s="37" t="inlineStr">
        <is>
          <t>国内带</t>
        </is>
      </c>
      <c r="G237" s="37" t="n"/>
      <c r="H237" s="37" t="n"/>
      <c r="I237" s="39" t="inlineStr"/>
      <c r="J237" s="36" t="n"/>
    </row>
    <row r="238">
      <c r="A238" s="36" t="inlineStr">
        <is>
          <t>食 · 厨房调料</t>
        </is>
      </c>
      <c r="B238" s="37" t="inlineStr">
        <is>
          <t>D+0 落地 48h</t>
        </is>
      </c>
      <c r="C238" s="38" t="inlineStr">
        <is>
          <t>菜刀 + 砧板</t>
        </is>
      </c>
      <c r="D238" s="37" t="inlineStr">
        <is>
          <t>未完成</t>
        </is>
      </c>
      <c r="E238" s="37" t="inlineStr"/>
      <c r="F238" s="37" t="inlineStr">
        <is>
          <t>落地买</t>
        </is>
      </c>
      <c r="G238" s="37" t="n"/>
      <c r="H238" s="37" t="n"/>
      <c r="I238" s="39" t="inlineStr">
        <is>
          <t>落地买，别托运刀具</t>
        </is>
      </c>
      <c r="J238" s="36" t="n"/>
    </row>
    <row r="239">
      <c r="A239" s="36" t="inlineStr">
        <is>
          <t>食 · 厨房调料</t>
        </is>
      </c>
      <c r="B239" s="37" t="inlineStr">
        <is>
          <t>D+0 落地 48h</t>
        </is>
      </c>
      <c r="C239" s="38" t="inlineStr">
        <is>
          <t>锅（炒锅/汤锅）</t>
        </is>
      </c>
      <c r="D239" s="37" t="inlineStr">
        <is>
          <t>未完成</t>
        </is>
      </c>
      <c r="E239" s="37" t="inlineStr"/>
      <c r="F239" s="37" t="inlineStr">
        <is>
          <t>落地买</t>
        </is>
      </c>
      <c r="G239" s="37" t="n"/>
      <c r="H239" s="37" t="n"/>
      <c r="I239" s="39" t="inlineStr"/>
      <c r="J239" s="36" t="n"/>
    </row>
    <row r="240">
      <c r="A240" s="36" t="inlineStr">
        <is>
          <t>食 · 厨房调料</t>
        </is>
      </c>
      <c r="B240" s="37" t="inlineStr">
        <is>
          <t>D+0 落地 48h</t>
        </is>
      </c>
      <c r="C240" s="38" t="inlineStr">
        <is>
          <t>电煮锅 / 小电饭煲</t>
        </is>
      </c>
      <c r="D240" s="37" t="inlineStr">
        <is>
          <t>未完成</t>
        </is>
      </c>
      <c r="E240" s="37" t="inlineStr"/>
      <c r="F240" s="37" t="inlineStr">
        <is>
          <t>落地买</t>
        </is>
      </c>
      <c r="G240" s="37" t="n"/>
      <c r="H240" s="37" t="n"/>
      <c r="I240" s="39" t="inlineStr">
        <is>
          <t>落地买，注意 230V</t>
        </is>
      </c>
      <c r="J240" s="36" t="n"/>
    </row>
    <row r="241">
      <c r="A241" s="36" t="inlineStr">
        <is>
          <t>食 · 厨房调料</t>
        </is>
      </c>
      <c r="B241" s="37" t="inlineStr">
        <is>
          <t>D+0 落地 48h</t>
        </is>
      </c>
      <c r="C241" s="38" t="inlineStr">
        <is>
          <t>保鲜盒</t>
        </is>
      </c>
      <c r="D241" s="37" t="inlineStr">
        <is>
          <t>未完成</t>
        </is>
      </c>
      <c r="E241" s="37" t="inlineStr"/>
      <c r="F241" s="37" t="inlineStr">
        <is>
          <t>落地买</t>
        </is>
      </c>
      <c r="G241" s="37" t="n"/>
      <c r="H241" s="37" t="n"/>
      <c r="I241" s="39" t="inlineStr"/>
      <c r="J241" s="36" t="n"/>
    </row>
    <row r="242">
      <c r="A242" s="36" t="inlineStr">
        <is>
          <t>食 · 厨房调料</t>
        </is>
      </c>
      <c r="B242" s="37" t="inlineStr">
        <is>
          <t>D+0 落地 48h</t>
        </is>
      </c>
      <c r="C242" s="38" t="inlineStr">
        <is>
          <t>落地第一次超市采买</t>
        </is>
      </c>
      <c r="D242" s="37" t="inlineStr">
        <is>
          <t>未完成</t>
        </is>
      </c>
      <c r="E242" s="37" t="inlineStr">
        <is>
          <t>是</t>
        </is>
      </c>
      <c r="F242" s="37" t="inlineStr"/>
      <c r="G242" s="37" t="n"/>
      <c r="H242" s="37" t="n"/>
      <c r="I242" s="39" t="inlineStr">
        <is>
          <t>FairPrice / Sheng Siong / Giant / Don Don Donki</t>
        </is>
      </c>
      <c r="J242" s="36" t="n"/>
    </row>
    <row r="243">
      <c r="A243" s="36" t="inlineStr">
        <is>
          <t>食 · 厨房调料</t>
        </is>
      </c>
      <c r="B243" s="37" t="inlineStr">
        <is>
          <t>W1 第一周</t>
        </is>
      </c>
      <c r="C243" s="38" t="inlineStr">
        <is>
          <t>摸清 NTU 食堂</t>
        </is>
      </c>
      <c r="D243" s="37" t="inlineStr">
        <is>
          <t>未完成</t>
        </is>
      </c>
      <c r="E243" s="37" t="inlineStr"/>
      <c r="F243" s="37" t="inlineStr"/>
      <c r="G243" s="37" t="n"/>
      <c r="H243" s="37" t="n"/>
      <c r="I243" s="39" t="inlineStr">
        <is>
          <t>Canteen 1/2/9/11/13/14、North Spine、South Spine</t>
        </is>
      </c>
      <c r="J243" s="36" t="n"/>
    </row>
    <row r="244">
      <c r="A244" s="36" t="inlineStr">
        <is>
          <t>食 · 厨房调料</t>
        </is>
      </c>
      <c r="B244" s="37" t="inlineStr">
        <is>
          <t>W1 第一周</t>
        </is>
      </c>
      <c r="C244" s="38" t="inlineStr">
        <is>
          <t>装外卖 App：GrabFood / foodpanda / Deliveroo</t>
        </is>
      </c>
      <c r="D244" s="37" t="inlineStr">
        <is>
          <t>未完成</t>
        </is>
      </c>
      <c r="E244" s="37" t="inlineStr"/>
      <c r="F244" s="37" t="inlineStr"/>
      <c r="G244" s="37" t="n"/>
      <c r="H244" s="37" t="n"/>
      <c r="I244" s="39" t="inlineStr"/>
      <c r="J244" s="36" t="n"/>
    </row>
    <row r="245">
      <c r="A245" s="36" t="inlineStr">
        <is>
          <t>食 · 厨房调料</t>
        </is>
      </c>
      <c r="B245" s="37" t="inlineStr">
        <is>
          <t>W1 第一周</t>
        </is>
      </c>
      <c r="C245" s="38" t="inlineStr">
        <is>
          <t>逛一次附近巴刹和食阁</t>
        </is>
      </c>
      <c r="D245" s="37" t="inlineStr">
        <is>
          <t>未完成</t>
        </is>
      </c>
      <c r="E245" s="37" t="inlineStr"/>
      <c r="F245" s="37" t="inlineStr"/>
      <c r="G245" s="37" t="n"/>
      <c r="H245" s="37" t="n"/>
      <c r="I245" s="39" t="inlineStr">
        <is>
          <t>Boon Lay Place、Pioneer Mall、Jurong Point</t>
        </is>
      </c>
      <c r="J245" s="36" t="n"/>
    </row>
    <row r="246">
      <c r="A246" s="36" t="inlineStr">
        <is>
          <t>文具与学习</t>
        </is>
      </c>
      <c r="B246" s="37" t="inlineStr">
        <is>
          <t>T-7 出发前一周</t>
        </is>
      </c>
      <c r="C246" s="38" t="inlineStr">
        <is>
          <t>笔 ×4 + 笔记本 ×2</t>
        </is>
      </c>
      <c r="D246" s="37" t="inlineStr">
        <is>
          <t>未完成</t>
        </is>
      </c>
      <c r="E246" s="37" t="inlineStr"/>
      <c r="F246" s="37" t="inlineStr">
        <is>
          <t>国内带</t>
        </is>
      </c>
      <c r="G246" s="37" t="n"/>
      <c r="H246" s="37" t="n"/>
      <c r="I246" s="39" t="inlineStr">
        <is>
          <t>小红书 @杂菜饭主理人「25fall新硕留子の开学清单」868赞，NTU 专属，2026-09：带少量就够，本地也买得到</t>
        </is>
      </c>
      <c r="J246" s="36" t="n"/>
    </row>
    <row r="247">
      <c r="A247" s="36" t="inlineStr">
        <is>
          <t>文具与学习</t>
        </is>
      </c>
      <c r="B247" s="37" t="inlineStr">
        <is>
          <t>T-7 出发前一周</t>
        </is>
      </c>
      <c r="C247" s="38" t="inlineStr">
        <is>
          <t>活页本 ×3 + 活页纸</t>
        </is>
      </c>
      <c r="D247" s="37" t="inlineStr">
        <is>
          <t>未完成</t>
        </is>
      </c>
      <c r="E247" s="37" t="inlineStr"/>
      <c r="F247" s="37" t="inlineStr">
        <is>
          <t>国内带</t>
        </is>
      </c>
      <c r="G247" s="37" t="n"/>
      <c r="H247" s="37" t="n"/>
      <c r="I247" s="39" t="inlineStr">
        <is>
          <t>小红书 @krsttt「NUS j人留子 行前准备」733赞，2026-09 列了</t>
        </is>
      </c>
      <c r="J247" s="36" t="n"/>
    </row>
    <row r="248">
      <c r="A248" s="36" t="inlineStr">
        <is>
          <t>文具与学习</t>
        </is>
      </c>
      <c r="B248" s="37" t="inlineStr">
        <is>
          <t>T-7 出发前一周</t>
        </is>
      </c>
      <c r="C248" s="38" t="inlineStr">
        <is>
          <t>便利贴</t>
        </is>
      </c>
      <c r="D248" s="37" t="inlineStr">
        <is>
          <t>未完成</t>
        </is>
      </c>
      <c r="E248" s="37" t="inlineStr"/>
      <c r="F248" s="37" t="inlineStr">
        <is>
          <t>国内带</t>
        </is>
      </c>
      <c r="G248" s="37" t="n"/>
      <c r="H248" s="37" t="n"/>
      <c r="I248" s="39" t="inlineStr"/>
      <c r="J248" s="36" t="n"/>
    </row>
    <row r="249">
      <c r="A249" s="36" t="inlineStr">
        <is>
          <t>文具与学习</t>
        </is>
      </c>
      <c r="B249" s="37" t="inlineStr">
        <is>
          <t>T-7 出发前一周</t>
        </is>
      </c>
      <c r="C249" s="38" t="inlineStr">
        <is>
          <t>尺子、橡皮、笔袋</t>
        </is>
      </c>
      <c r="D249" s="37" t="inlineStr">
        <is>
          <t>未完成</t>
        </is>
      </c>
      <c r="E249" s="37" t="inlineStr"/>
      <c r="F249" s="37" t="inlineStr">
        <is>
          <t>国内带</t>
        </is>
      </c>
      <c r="G249" s="37" t="n"/>
      <c r="H249" s="37" t="n"/>
      <c r="I249" s="39" t="inlineStr"/>
      <c r="J249" s="36" t="n"/>
    </row>
    <row r="250">
      <c r="A250" s="36" t="inlineStr">
        <is>
          <t>文具与学习</t>
        </is>
      </c>
      <c r="B250" s="37" t="inlineStr">
        <is>
          <t>T-7 出发前一周</t>
        </is>
      </c>
      <c r="C250" s="38" t="inlineStr">
        <is>
          <t>文件夹 / 资料册</t>
        </is>
      </c>
      <c r="D250" s="37" t="inlineStr">
        <is>
          <t>未完成</t>
        </is>
      </c>
      <c r="E250" s="37" t="inlineStr"/>
      <c r="F250" s="37" t="inlineStr">
        <is>
          <t>国内带</t>
        </is>
      </c>
      <c r="G250" s="37" t="n"/>
      <c r="H250" s="37" t="n"/>
      <c r="I250" s="39" t="inlineStr"/>
      <c r="J250" s="36" t="n"/>
    </row>
    <row r="251">
      <c r="A251" s="36" t="inlineStr">
        <is>
          <t>文具与学习</t>
        </is>
      </c>
      <c r="B251" s="37" t="inlineStr">
        <is>
          <t>T-60+ 两个月前</t>
        </is>
      </c>
      <c r="C251" s="38" t="inlineStr">
        <is>
          <t>完成在线注册 Matriculation</t>
        </is>
      </c>
      <c r="D251" s="37" t="inlineStr">
        <is>
          <t>未完成</t>
        </is>
      </c>
      <c r="E251" s="37" t="inlineStr">
        <is>
          <t>是</t>
        </is>
      </c>
      <c r="F251" s="37" t="inlineStr"/>
      <c r="G251" s="37" t="n"/>
      <c r="H251" s="37" t="n"/>
      <c r="I251" s="39" t="inlineStr">
        <is>
          <t>走 NTU Acceptance Form</t>
        </is>
      </c>
      <c r="J251" s="36" t="n"/>
    </row>
    <row r="252">
      <c r="A252" s="36" t="inlineStr">
        <is>
          <t>文具与学习</t>
        </is>
      </c>
      <c r="B252" s="37" t="inlineStr">
        <is>
          <t>W1 第一周</t>
        </is>
      </c>
      <c r="C252" s="38" t="inlineStr">
        <is>
          <t>领学生证 Matriculation Card</t>
        </is>
      </c>
      <c r="D252" s="37" t="inlineStr">
        <is>
          <t>未完成</t>
        </is>
      </c>
      <c r="E252" s="37" t="inlineStr">
        <is>
          <t>是</t>
        </is>
      </c>
      <c r="F252" s="37" t="inlineStr"/>
      <c r="G252" s="37" t="n"/>
      <c r="H252" s="37" t="n"/>
      <c r="I252" s="39" t="inlineStr"/>
      <c r="J252" s="36" t="n"/>
    </row>
    <row r="253">
      <c r="A253" s="36" t="inlineStr">
        <is>
          <t>文具与学习</t>
        </is>
      </c>
      <c r="B253" s="37" t="inlineStr">
        <is>
          <t>W1 第一周</t>
        </is>
      </c>
      <c r="C253" s="38" t="inlineStr">
        <is>
          <t>选课（GSCRS），提前查开放时间</t>
        </is>
      </c>
      <c r="D253" s="37" t="inlineStr">
        <is>
          <t>未完成</t>
        </is>
      </c>
      <c r="E253" s="37" t="inlineStr">
        <is>
          <t>是</t>
        </is>
      </c>
      <c r="F253" s="37" t="inlineStr"/>
      <c r="G253" s="37" t="n"/>
      <c r="H253" s="37" t="n"/>
      <c r="I253" s="39" t="inlineStr">
        <is>
          <t>热门课要抢</t>
        </is>
      </c>
      <c r="J253" s="36" t="n"/>
    </row>
    <row r="254">
      <c r="A254" s="36" t="inlineStr">
        <is>
          <t>文具与学习</t>
        </is>
      </c>
      <c r="B254" s="37" t="inlineStr">
        <is>
          <t>T-30 一个月前</t>
        </is>
      </c>
      <c r="C254" s="38" t="inlineStr">
        <is>
          <t>看清培养方案和毕业学分要求</t>
        </is>
      </c>
      <c r="D254" s="37" t="inlineStr">
        <is>
          <t>未完成</t>
        </is>
      </c>
      <c r="E254" s="37" t="inlineStr"/>
      <c r="F254" s="37" t="inlineStr"/>
      <c r="G254" s="37" t="n"/>
      <c r="H254" s="37" t="n"/>
      <c r="I254" s="39" t="inlineStr"/>
      <c r="J254" s="36" t="n"/>
    </row>
    <row r="255">
      <c r="A255" s="36" t="inlineStr">
        <is>
          <t>文具与学习</t>
        </is>
      </c>
      <c r="B255" s="37" t="inlineStr">
        <is>
          <t>W1 第一周</t>
        </is>
      </c>
      <c r="C255" s="38" t="inlineStr">
        <is>
          <t>参加 O-Week / 迎新</t>
        </is>
      </c>
      <c r="D255" s="37" t="inlineStr">
        <is>
          <t>未完成</t>
        </is>
      </c>
      <c r="E255" s="37" t="inlineStr"/>
      <c r="F255" s="37" t="inlineStr"/>
      <c r="G255" s="37" t="n"/>
      <c r="H255" s="37" t="n"/>
      <c r="I255" s="39" t="inlineStr"/>
      <c r="J255" s="36" t="n"/>
    </row>
    <row r="256">
      <c r="A256" s="36" t="inlineStr">
        <is>
          <t>文具与学习</t>
        </is>
      </c>
      <c r="B256" s="37" t="inlineStr">
        <is>
          <t>T-60+ 两个月前</t>
        </is>
      </c>
      <c r="C256" s="38" t="inlineStr">
        <is>
          <t>加项目群、学长学姐群</t>
        </is>
      </c>
      <c r="D256" s="37" t="inlineStr">
        <is>
          <t>未完成</t>
        </is>
      </c>
      <c r="E256" s="37" t="inlineStr"/>
      <c r="F256" s="37" t="inlineStr"/>
      <c r="G256" s="37" t="n"/>
      <c r="H256" s="37" t="n"/>
      <c r="I256" s="39" t="inlineStr">
        <is>
          <t>二手家具、转租、内推都在群里</t>
        </is>
      </c>
      <c r="J256" s="36" t="n"/>
    </row>
    <row r="257">
      <c r="A257" s="36" t="inlineStr">
        <is>
          <t>文具与学习</t>
        </is>
      </c>
      <c r="B257" s="37" t="inlineStr">
        <is>
          <t>W1 第一周</t>
        </is>
      </c>
      <c r="C257" s="38" t="inlineStr">
        <is>
          <t>逛一次图书馆：Lee Wee Nam、Business Library</t>
        </is>
      </c>
      <c r="D257" s="37" t="inlineStr">
        <is>
          <t>未完成</t>
        </is>
      </c>
      <c r="E257" s="37" t="inlineStr"/>
      <c r="F257" s="37" t="inlineStr"/>
      <c r="G257" s="37" t="n"/>
      <c r="H257" s="37" t="n"/>
      <c r="I257" s="39" t="inlineStr"/>
      <c r="J257" s="36" t="n"/>
    </row>
    <row r="258">
      <c r="A258" s="36" t="inlineStr">
        <is>
          <t>文具与学习</t>
        </is>
      </c>
      <c r="B258" s="37" t="inlineStr">
        <is>
          <t>W1 第一周</t>
        </is>
      </c>
      <c r="C258" s="38" t="inlineStr">
        <is>
          <t>装学校正版软件：Office / MATLAB / SPSS 等</t>
        </is>
      </c>
      <c r="D258" s="37" t="inlineStr">
        <is>
          <t>未完成</t>
        </is>
      </c>
      <c r="E258" s="37" t="inlineStr"/>
      <c r="F258" s="37" t="inlineStr"/>
      <c r="G258" s="37" t="n"/>
      <c r="H258" s="37" t="n"/>
      <c r="I258" s="39" t="inlineStr"/>
      <c r="J258" s="36" t="n"/>
    </row>
    <row r="259">
      <c r="A259" s="36" t="inlineStr">
        <is>
          <t>文具与学习</t>
        </is>
      </c>
      <c r="B259" s="37" t="inlineStr">
        <is>
          <t>M1 第一个月</t>
        </is>
      </c>
      <c r="C259" s="38" t="inlineStr">
        <is>
          <t>了解 Career Portal 和实习政策</t>
        </is>
      </c>
      <c r="D259" s="37" t="inlineStr">
        <is>
          <t>未完成</t>
        </is>
      </c>
      <c r="E259" s="37" t="inlineStr"/>
      <c r="F259" s="37" t="inlineStr"/>
      <c r="G259" s="37" t="n"/>
      <c r="H259" s="37" t="n"/>
      <c r="I259" s="39" t="inlineStr">
        <is>
          <t>STP 能不能兼职，以 ICA 和学校说明为准</t>
        </is>
      </c>
      <c r="J259" s="36" t="n"/>
    </row>
    <row r="260">
      <c r="A260" s="36" t="inlineStr">
        <is>
          <t>行 · 机票行李</t>
        </is>
      </c>
      <c r="B260" s="37" t="inlineStr">
        <is>
          <t>T-60+ 两个月前</t>
        </is>
      </c>
      <c r="C260" s="38" t="inlineStr">
        <is>
          <t>订机票，重点比行李额</t>
        </is>
      </c>
      <c r="D260" s="37" t="inlineStr">
        <is>
          <t>未完成</t>
        </is>
      </c>
      <c r="E260" s="37" t="inlineStr">
        <is>
          <t>是</t>
        </is>
      </c>
      <c r="F260" s="37" t="inlineStr"/>
      <c r="G260" s="37" t="n"/>
      <c r="H260" s="37" t="n"/>
      <c r="I260" s="39" t="inlineStr">
        <is>
          <t>有留学生记录东航 23kg/件、加一件约 800 元人民币、升超经约 700 元可多带一件（小红书 @松鼠滚果果「新加坡留学落地攻略」812赞，2026-09）；以你买的航司条款为准</t>
        </is>
      </c>
      <c r="J260" s="36" t="n"/>
    </row>
    <row r="261">
      <c r="A261" s="36" t="inlineStr">
        <is>
          <t>行 · 机票行李</t>
        </is>
      </c>
      <c r="B261" s="37" t="inlineStr">
        <is>
          <t>T-30 一个月前</t>
        </is>
      </c>
      <c r="C261" s="38" t="inlineStr">
        <is>
          <t>28 寸托运箱 ×1–2</t>
        </is>
      </c>
      <c r="D261" s="37" t="inlineStr">
        <is>
          <t>未完成</t>
        </is>
      </c>
      <c r="E261" s="37" t="inlineStr">
        <is>
          <t>是</t>
        </is>
      </c>
      <c r="F261" s="37" t="inlineStr">
        <is>
          <t>国内带</t>
        </is>
      </c>
      <c r="G261" s="37" t="n"/>
      <c r="H261" s="37" t="n"/>
      <c r="I261" s="39" t="inlineStr">
        <is>
          <t>小红书 @krsttt「NUS j人留子 行前准备」733赞，2026-09 带了 2 个 28 寸刚好 40kg + 20 寸登机箱 + 双肩包</t>
        </is>
      </c>
      <c r="J261" s="36" t="n"/>
    </row>
    <row r="262">
      <c r="A262" s="36" t="inlineStr">
        <is>
          <t>行 · 机票行李</t>
        </is>
      </c>
      <c r="B262" s="37" t="inlineStr">
        <is>
          <t>T-30 一个月前</t>
        </is>
      </c>
      <c r="C262" s="38" t="inlineStr">
        <is>
          <t>20 寸登机箱</t>
        </is>
      </c>
      <c r="D262" s="37" t="inlineStr">
        <is>
          <t>未完成</t>
        </is>
      </c>
      <c r="E262" s="37" t="inlineStr"/>
      <c r="F262" s="37" t="inlineStr">
        <is>
          <t>国内带</t>
        </is>
      </c>
      <c r="G262" s="37" t="n"/>
      <c r="H262" s="37" t="n"/>
      <c r="I262" s="39" t="inlineStr"/>
      <c r="J262" s="36" t="n"/>
    </row>
    <row r="263">
      <c r="A263" s="36" t="inlineStr">
        <is>
          <t>行 · 机票行李</t>
        </is>
      </c>
      <c r="B263" s="37" t="inlineStr">
        <is>
          <t>T-30 一个月前</t>
        </is>
      </c>
      <c r="C263" s="38" t="inlineStr">
        <is>
          <t>确认行李箱三边和 ≤158cm</t>
        </is>
      </c>
      <c r="D263" s="37" t="inlineStr">
        <is>
          <t>未完成</t>
        </is>
      </c>
      <c r="E263" s="37" t="inlineStr">
        <is>
          <t>是</t>
        </is>
      </c>
      <c r="F263" s="37" t="inlineStr"/>
      <c r="G263" s="37" t="n"/>
      <c r="H263" s="37" t="n"/>
      <c r="I263" s="39" t="inlineStr">
        <is>
          <t>超尺寸要另外加钱（小红书 @frjinnfaerei「26fall行李进度50%」459赞，2026-09）</t>
        </is>
      </c>
      <c r="J263" s="36" t="n"/>
    </row>
    <row r="264">
      <c r="A264" s="36" t="inlineStr">
        <is>
          <t>行 · 机票行李</t>
        </is>
      </c>
      <c r="B264" s="37" t="inlineStr">
        <is>
          <t>T-7 出发前一周</t>
        </is>
      </c>
      <c r="C264" s="38" t="inlineStr">
        <is>
          <t>行李秤</t>
        </is>
      </c>
      <c r="D264" s="37" t="inlineStr">
        <is>
          <t>未完成</t>
        </is>
      </c>
      <c r="E264" s="37" t="inlineStr"/>
      <c r="F264" s="37" t="inlineStr">
        <is>
          <t>国内带</t>
        </is>
      </c>
      <c r="G264" s="37" t="n"/>
      <c r="H264" s="37" t="n"/>
      <c r="I264" s="39" t="inlineStr">
        <is>
          <t>称完再出门，机场补救很贵</t>
        </is>
      </c>
      <c r="J264" s="36" t="n"/>
    </row>
    <row r="265">
      <c r="A265" s="36" t="inlineStr">
        <is>
          <t>行 · 机票行李</t>
        </is>
      </c>
      <c r="B265" s="37" t="inlineStr">
        <is>
          <t>T-7 出发前一周</t>
        </is>
      </c>
      <c r="C265" s="38" t="inlineStr">
        <is>
          <t>行李箱绑带 / 密码锁</t>
        </is>
      </c>
      <c r="D265" s="37" t="inlineStr">
        <is>
          <t>未完成</t>
        </is>
      </c>
      <c r="E265" s="37" t="inlineStr"/>
      <c r="F265" s="37" t="inlineStr">
        <is>
          <t>国内带</t>
        </is>
      </c>
      <c r="G265" s="37" t="n"/>
      <c r="H265" s="37" t="n"/>
      <c r="I265" s="39" t="inlineStr"/>
      <c r="J265" s="36" t="n"/>
    </row>
    <row r="266">
      <c r="A266" s="36" t="inlineStr">
        <is>
          <t>行 · 机票行李</t>
        </is>
      </c>
      <c r="B266" s="37" t="inlineStr">
        <is>
          <t>T-7 出发前一周</t>
        </is>
      </c>
      <c r="C266" s="38" t="inlineStr">
        <is>
          <t>行李牌 + 箱子加个好认的贴纸</t>
        </is>
      </c>
      <c r="D266" s="37" t="inlineStr">
        <is>
          <t>未完成</t>
        </is>
      </c>
      <c r="E266" s="37" t="inlineStr"/>
      <c r="F266" s="37" t="inlineStr">
        <is>
          <t>国内带</t>
        </is>
      </c>
      <c r="G266" s="37" t="n"/>
      <c r="H266" s="37" t="n"/>
      <c r="I266" s="39" t="inlineStr">
        <is>
          <t>小红书 @frjinnfaerei「26fall行李进度50%」459赞，2026-09 贴了小狗贴画</t>
        </is>
      </c>
      <c r="J266" s="36" t="n"/>
    </row>
    <row r="267">
      <c r="A267" s="36" t="inlineStr">
        <is>
          <t>行 · 机票行李</t>
        </is>
      </c>
      <c r="B267" s="37" t="inlineStr">
        <is>
          <t>T-7 出发前一周</t>
        </is>
      </c>
      <c r="C267" s="38" t="inlineStr">
        <is>
          <t>随身包：证件、电脑、充电宝、一天换洗</t>
        </is>
      </c>
      <c r="D267" s="37" t="inlineStr">
        <is>
          <t>未完成</t>
        </is>
      </c>
      <c r="E267" s="37" t="inlineStr">
        <is>
          <t>是</t>
        </is>
      </c>
      <c r="F267" s="37" t="inlineStr"/>
      <c r="G267" s="37" t="n"/>
      <c r="H267" s="37" t="n"/>
      <c r="I267" s="39" t="inlineStr">
        <is>
          <t>托运丢了也能撑住。小红书 @frjinnfaerei「26fall行李进度50%」459赞，2026-09 的随身电子设备近 8kg，先试装一遍</t>
        </is>
      </c>
      <c r="J267" s="36" t="n"/>
    </row>
    <row r="268">
      <c r="A268" s="36" t="inlineStr">
        <is>
          <t>行 · 机票行李</t>
        </is>
      </c>
      <c r="B268" s="37" t="inlineStr">
        <is>
          <t>T-7 出发前一周</t>
        </is>
      </c>
      <c r="C268" s="38" t="inlineStr">
        <is>
          <t>压缩袋 / 收纳袋 按品类分装</t>
        </is>
      </c>
      <c r="D268" s="37" t="inlineStr">
        <is>
          <t>未完成</t>
        </is>
      </c>
      <c r="E268" s="37" t="inlineStr"/>
      <c r="F268" s="37" t="inlineStr">
        <is>
          <t>国内带</t>
        </is>
      </c>
      <c r="G268" s="37" t="n"/>
      <c r="H268" s="37" t="n"/>
      <c r="I268" s="39" t="inlineStr"/>
      <c r="J268" s="36" t="n"/>
    </row>
    <row r="269">
      <c r="A269" s="36" t="inlineStr">
        <is>
          <t>行 · 机票行李</t>
        </is>
      </c>
      <c r="B269" s="37" t="inlineStr">
        <is>
          <t>T-7 出发前一周</t>
        </is>
      </c>
      <c r="C269" s="38" t="inlineStr">
        <is>
          <t>托运件里所有液体套密封袋</t>
        </is>
      </c>
      <c r="D269" s="37" t="inlineStr">
        <is>
          <t>未完成</t>
        </is>
      </c>
      <c r="E269" s="37" t="inlineStr">
        <is>
          <t>是</t>
        </is>
      </c>
      <c r="F269" s="37" t="inlineStr"/>
      <c r="G269" s="37" t="n"/>
      <c r="H269" s="37" t="n"/>
      <c r="I269" s="39" t="inlineStr"/>
      <c r="J269" s="36" t="n"/>
    </row>
    <row r="270">
      <c r="A270" s="36" t="inlineStr">
        <is>
          <t>行 · 机票行李</t>
        </is>
      </c>
      <c r="B270" s="37" t="inlineStr">
        <is>
          <t>T-7 出发前一周</t>
        </is>
      </c>
      <c r="C270" s="38" t="inlineStr">
        <is>
          <t>随身液体单瓶 ≤100ml</t>
        </is>
      </c>
      <c r="D270" s="37" t="inlineStr">
        <is>
          <t>未完成</t>
        </is>
      </c>
      <c r="E270" s="37" t="inlineStr">
        <is>
          <t>是</t>
        </is>
      </c>
      <c r="F270" s="37" t="inlineStr"/>
      <c r="G270" s="37" t="n"/>
      <c r="H270" s="37" t="n"/>
      <c r="I270" s="39" t="inlineStr"/>
      <c r="J270" s="36" t="n"/>
    </row>
    <row r="271">
      <c r="A271" s="36" t="inlineStr">
        <is>
          <t>行 · 机票行李</t>
        </is>
      </c>
      <c r="B271" s="37" t="inlineStr">
        <is>
          <t>T-7 出发前一周</t>
        </is>
      </c>
      <c r="C271" s="38" t="inlineStr">
        <is>
          <t>充电宝只能随身，不可托运</t>
        </is>
      </c>
      <c r="D271" s="37" t="inlineStr">
        <is>
          <t>未完成</t>
        </is>
      </c>
      <c r="E271" s="37" t="inlineStr">
        <is>
          <t>是</t>
        </is>
      </c>
      <c r="F271" s="37" t="inlineStr"/>
      <c r="G271" s="37" t="n"/>
      <c r="H271" s="37" t="n"/>
      <c r="I271" s="39" t="inlineStr"/>
      <c r="J271" s="36" t="n"/>
    </row>
    <row r="272">
      <c r="A272" s="36" t="inlineStr">
        <is>
          <t>行 · 机票行李</t>
        </is>
      </c>
      <c r="B272" s="37" t="inlineStr">
        <is>
          <t>T-7 出发前一周</t>
        </is>
      </c>
      <c r="C272" s="38" t="inlineStr">
        <is>
          <t>颈枕 / 眼罩 / 耳塞</t>
        </is>
      </c>
      <c r="D272" s="37" t="inlineStr">
        <is>
          <t>未完成</t>
        </is>
      </c>
      <c r="E272" s="37" t="inlineStr"/>
      <c r="F272" s="37" t="inlineStr">
        <is>
          <t>国内带</t>
        </is>
      </c>
      <c r="G272" s="37" t="n"/>
      <c r="H272" s="37" t="n"/>
      <c r="I272" s="39" t="inlineStr"/>
      <c r="J272" s="36" t="n"/>
    </row>
    <row r="273">
      <c r="A273" s="36" t="inlineStr">
        <is>
          <t>行 · 机票行李</t>
        </is>
      </c>
      <c r="B273" s="37" t="inlineStr">
        <is>
          <t>D-DAY 出发当天</t>
        </is>
      </c>
      <c r="C273" s="38" t="inlineStr">
        <is>
          <t>登机前开通国内号国际漫游</t>
        </is>
      </c>
      <c r="D273" s="37" t="inlineStr">
        <is>
          <t>未完成</t>
        </is>
      </c>
      <c r="E273" s="37" t="inlineStr">
        <is>
          <t>是</t>
        </is>
      </c>
      <c r="F273" s="37" t="inlineStr"/>
      <c r="G273" s="40" t="n">
        <v>30</v>
      </c>
      <c r="H273" s="37" t="inlineStr">
        <is>
          <t>CNY</t>
        </is>
      </c>
      <c r="I273" s="39" t="inlineStr">
        <is>
          <t>约 30 元/月，落地要收银行和学校的验证码（小红书 @杂菜饭主理人「25fall新硕留子の开学清单」868赞，NTU 专属，2026-09）</t>
        </is>
      </c>
      <c r="J273" s="36" t="n"/>
    </row>
    <row r="274">
      <c r="A274" s="36" t="inlineStr">
        <is>
          <t>行 · 机票行李</t>
        </is>
      </c>
      <c r="B274" s="37" t="inlineStr">
        <is>
          <t>D+0 落地 48h</t>
        </is>
      </c>
      <c r="C274" s="38" t="inlineStr">
        <is>
          <t>落地办本地 prepaid 卡</t>
        </is>
      </c>
      <c r="D274" s="37" t="inlineStr">
        <is>
          <t>未完成</t>
        </is>
      </c>
      <c r="E274" s="37" t="inlineStr">
        <is>
          <t>是</t>
        </is>
      </c>
      <c r="F274" s="37" t="inlineStr"/>
      <c r="G274" s="40" t="n">
        <v>15</v>
      </c>
      <c r="H274" s="37" t="inlineStr">
        <is>
          <t>SGD</t>
        </is>
      </c>
      <c r="I274" s="39" t="inlineStr">
        <is>
          <t>Singtel / StarHub / M1，约 S$15，樟宜各航站楼 Cheers、7-11 或柜台，凭护照实名。预付卡有效期约 30 天（小红书 @松鼠滚果果「新加坡留学落地攻略」812赞，2026-09、小红书 @StayGold「落地樟宜T3买Singtel卡」694赞，2026-09）</t>
        </is>
      </c>
      <c r="J274" s="36" t="n"/>
    </row>
    <row r="275">
      <c r="A275" s="36" t="inlineStr">
        <is>
          <t>行 · 机票行李</t>
        </is>
      </c>
      <c r="B275" s="37" t="inlineStr">
        <is>
          <t>D+0 落地 48h</t>
        </is>
      </c>
      <c r="C275" s="38" t="inlineStr">
        <is>
          <t>办 EZ-Link 交通卡</t>
        </is>
      </c>
      <c r="D275" s="37" t="inlineStr">
        <is>
          <t>未完成</t>
        </is>
      </c>
      <c r="E275" s="37" t="inlineStr">
        <is>
          <t>是</t>
        </is>
      </c>
      <c r="F275" s="37" t="inlineStr"/>
      <c r="G275" s="40" t="n">
        <v>20</v>
      </c>
      <c r="H275" s="37" t="inlineStr">
        <is>
          <t>SGD</t>
        </is>
      </c>
      <c r="I275" s="39" t="inlineStr">
        <is>
          <t>工本费 S$5 不退 + 储值；机场地铁站服务台、7-11、Cheers 都能办。公交上下车都要刷（小红书 @Swallow’s eyes「首落樟宜从从容容三件事」970赞，2026-09、小红书 @杂菜饭主理人「25fall新硕留子の开学清单」868赞，NTU 专属，2026-09）</t>
        </is>
      </c>
      <c r="J275" s="36" t="n"/>
    </row>
    <row r="276">
      <c r="A276" s="36" t="inlineStr">
        <is>
          <t>行 · 机票行李</t>
        </is>
      </c>
      <c r="B276" s="37" t="inlineStr">
        <is>
          <t>D-DAY 出发当天</t>
        </is>
      </c>
      <c r="C276" s="38" t="inlineStr">
        <is>
          <t>装 Grab，按行李数选车型</t>
        </is>
      </c>
      <c r="D276" s="37" t="inlineStr">
        <is>
          <t>未完成</t>
        </is>
      </c>
      <c r="E276" s="37" t="inlineStr">
        <is>
          <t>是</t>
        </is>
      </c>
      <c r="F276" s="37" t="inlineStr"/>
      <c r="G276" s="40" t="n">
        <v>40</v>
      </c>
      <c r="H276" s="37" t="inlineStr">
        <is>
          <t>SGD</t>
        </is>
      </c>
      <c r="I276" s="39" t="inlineStr">
        <is>
          <t>普通 4 座放 2 件大行李、6 座放 3 件；樟宜到 NTU 约 45–50 分钟（小红书 @松鼠滚果果「新加坡留学落地攻略」812赞，2026-09、小红书 @StayGold「落地樟宜T3买Singtel卡」694赞，2026-09）</t>
        </is>
      </c>
      <c r="J276" s="36" t="n"/>
    </row>
    <row r="277">
      <c r="A277" s="36" t="inlineStr">
        <is>
          <t>行 · 机票行李</t>
        </is>
      </c>
      <c r="B277" s="37" t="inlineStr">
        <is>
          <t>T-7 出发前一周</t>
        </is>
      </c>
      <c r="C277" s="38" t="inlineStr">
        <is>
          <t>提前查好樟宜到住处的路线和大概车费</t>
        </is>
      </c>
      <c r="D277" s="37" t="inlineStr">
        <is>
          <t>未完成</t>
        </is>
      </c>
      <c r="E277" s="37" t="inlineStr"/>
      <c r="F277" s="37" t="inlineStr"/>
      <c r="G277" s="37" t="n"/>
      <c r="H277" s="37" t="n"/>
      <c r="I277" s="39" t="inlineStr"/>
      <c r="J277" s="36" t="n"/>
    </row>
    <row r="278">
      <c r="A278" s="36" t="inlineStr">
        <is>
          <t>行 · 机票行李</t>
        </is>
      </c>
      <c r="B278" s="37" t="inlineStr">
        <is>
          <t>W1 第一周</t>
        </is>
      </c>
      <c r="C278" s="38" t="inlineStr">
        <is>
          <t>摸清 NTU 校车路线（免费）</t>
        </is>
      </c>
      <c r="D278" s="37" t="inlineStr">
        <is>
          <t>未完成</t>
        </is>
      </c>
      <c r="E278" s="37" t="inlineStr"/>
      <c r="F278" s="37" t="inlineStr"/>
      <c r="G278" s="37" t="n"/>
      <c r="H278" s="37" t="n"/>
      <c r="I278" s="39" t="inlineStr">
        <is>
          <t>红/蓝/棕线</t>
        </is>
      </c>
      <c r="J278" s="36" t="n"/>
    </row>
    <row r="279">
      <c r="A279" s="36" t="inlineStr">
        <is>
          <t>行 · 机票行李</t>
        </is>
      </c>
      <c r="B279" s="37" t="inlineStr">
        <is>
          <t>W1 第一周</t>
        </is>
      </c>
      <c r="C279" s="38" t="inlineStr">
        <is>
          <t>记住 179 / 199 巴士到 NTU</t>
        </is>
      </c>
      <c r="D279" s="37" t="inlineStr">
        <is>
          <t>未完成</t>
        </is>
      </c>
      <c r="E279" s="37" t="inlineStr"/>
      <c r="F279" s="37" t="inlineStr"/>
      <c r="G279" s="37" t="n"/>
      <c r="H279" s="37" t="n"/>
      <c r="I279" s="39" t="inlineStr"/>
      <c r="J279" s="36" t="n"/>
    </row>
    <row r="280">
      <c r="A280" s="36" t="inlineStr">
        <is>
          <t>行 · 机票行李</t>
        </is>
      </c>
      <c r="B280" s="37" t="inlineStr">
        <is>
          <t>M1 第一个月</t>
        </is>
      </c>
      <c r="C280" s="38" t="inlineStr">
        <is>
          <t>拿到 STP + Singpass 后把预付卡转长期号</t>
        </is>
      </c>
      <c r="D280" s="37" t="inlineStr">
        <is>
          <t>未完成</t>
        </is>
      </c>
      <c r="E280" s="37" t="inlineStr"/>
      <c r="F280" s="37" t="inlineStr"/>
      <c r="G280" s="37" t="n"/>
      <c r="H280" s="37" t="n"/>
      <c r="I280" s="39" t="inlineStr">
        <is>
          <t>可在 hi! App 上操作（小红书 @StayGold「落地樟宜T3买Singtel卡」694赞，2026-09）</t>
        </is>
      </c>
      <c r="J280" s="36" t="n"/>
    </row>
    <row r="281">
      <c r="A281" s="36" t="inlineStr">
        <is>
          <t>行 · 机票行李</t>
        </is>
      </c>
      <c r="B281" s="37" t="inlineStr">
        <is>
          <t>M1 第一个月</t>
        </is>
      </c>
      <c r="C281" s="38" t="inlineStr">
        <is>
          <t>绑 SimplyGo 线上充值</t>
        </is>
      </c>
      <c r="D281" s="37" t="inlineStr">
        <is>
          <t>未完成</t>
        </is>
      </c>
      <c r="E281" s="37" t="inlineStr"/>
      <c r="F281" s="37" t="inlineStr"/>
      <c r="G281" s="37" t="n"/>
      <c r="H281" s="37" t="n"/>
      <c r="I281" s="39" t="inlineStr">
        <is>
          <t>需要 Singpass</t>
        </is>
      </c>
      <c r="J281" s="36" t="n"/>
    </row>
    <row r="282">
      <c r="A282" s="36" t="inlineStr">
        <is>
          <t>行 · 机票行李</t>
        </is>
      </c>
      <c r="B282" s="37" t="inlineStr">
        <is>
          <t>D-DAY 出发当天</t>
        </is>
      </c>
      <c r="C282" s="38" t="inlineStr">
        <is>
          <t>存 Google Maps 离线地图</t>
        </is>
      </c>
      <c r="D282" s="37" t="inlineStr">
        <is>
          <t>未完成</t>
        </is>
      </c>
      <c r="E282" s="37" t="inlineStr"/>
      <c r="F282" s="37" t="inlineStr"/>
      <c r="G282" s="37" t="n"/>
      <c r="H282" s="37" t="n"/>
      <c r="I282" s="39" t="inlineStr"/>
      <c r="J282" s="36" t="n"/>
    </row>
    <row r="283">
      <c r="A283" s="36" t="inlineStr">
        <is>
          <t>通讯与账号</t>
        </is>
      </c>
      <c r="B283" s="37" t="inlineStr">
        <is>
          <t>T-30 一个月前</t>
        </is>
      </c>
      <c r="C283" s="38" t="inlineStr">
        <is>
          <t>国内手机号办保号套餐</t>
        </is>
      </c>
      <c r="D283" s="37" t="inlineStr">
        <is>
          <t>未完成</t>
        </is>
      </c>
      <c r="E283" s="37" t="inlineStr">
        <is>
          <t>是</t>
        </is>
      </c>
      <c r="F283" s="37" t="inlineStr"/>
      <c r="G283" s="37" t="n"/>
      <c r="H283" s="37" t="n"/>
      <c r="I283" s="39" t="inlineStr">
        <is>
          <t>微信、支付宝、银行验证码全靠它，千万别停机</t>
        </is>
      </c>
      <c r="J283" s="36" t="n"/>
    </row>
    <row r="284">
      <c r="A284" s="36" t="inlineStr">
        <is>
          <t>通讯与账号</t>
        </is>
      </c>
      <c r="B284" s="37" t="inlineStr">
        <is>
          <t>W1 第一周</t>
        </is>
      </c>
      <c r="C284" s="38" t="inlineStr">
        <is>
          <t>新加坡长期套餐：可到 NTU 校内 Singtel / StarHub 营业厅办学生套餐</t>
        </is>
      </c>
      <c r="D284" s="37" t="inlineStr">
        <is>
          <t>未完成</t>
        </is>
      </c>
      <c r="E284" s="37" t="inlineStr"/>
      <c r="F284" s="37" t="inlineStr"/>
      <c r="G284" s="40" t="n">
        <v>18</v>
      </c>
      <c r="H284" s="37" t="inlineStr">
        <is>
          <t>SGD</t>
        </is>
      </c>
      <c r="I284" s="39" t="inlineStr">
        <is>
          <t>15–20 新/月含大流量 + 本地通话，小红书 @杂菜饭主理人「25fall新硕留子の开学清单」868赞，NTU 专属，2026-09 说比机场买划算</t>
        </is>
      </c>
      <c r="J284" s="36" t="n"/>
    </row>
    <row r="285">
      <c r="A285" s="36" t="inlineStr">
        <is>
          <t>通讯与账号</t>
        </is>
      </c>
      <c r="B285" s="37" t="inlineStr">
        <is>
          <t>W1 第一周</t>
        </is>
      </c>
      <c r="C285" s="38" t="inlineStr">
        <is>
          <t>注册并激活 Singpass</t>
        </is>
      </c>
      <c r="D285" s="37" t="inlineStr">
        <is>
          <t>未完成</t>
        </is>
      </c>
      <c r="E285" s="37" t="inlineStr">
        <is>
          <t>是</t>
        </is>
      </c>
      <c r="F285" s="37" t="inlineStr"/>
      <c r="G285" s="37" t="n"/>
      <c r="H285" s="37" t="n"/>
      <c r="I285" s="39" t="inlineStr">
        <is>
          <t>需要 STP + 本地号，缺一不可；租房、政务、银行核验全走它</t>
        </is>
      </c>
      <c r="J285" s="36" t="n"/>
    </row>
    <row r="286">
      <c r="A286" s="36" t="inlineStr">
        <is>
          <t>通讯与账号</t>
        </is>
      </c>
      <c r="B286" s="37" t="inlineStr">
        <is>
          <t>W1 第一周</t>
        </is>
      </c>
      <c r="C286" s="38" t="inlineStr">
        <is>
          <t>测试 NTU 邮箱、NTUlearn、GSLink 能不能登</t>
        </is>
      </c>
      <c r="D286" s="37" t="inlineStr">
        <is>
          <t>未完成</t>
        </is>
      </c>
      <c r="E286" s="37" t="inlineStr">
        <is>
          <t>是</t>
        </is>
      </c>
      <c r="F286" s="37" t="inlineStr"/>
      <c r="G286" s="37" t="n"/>
      <c r="H286" s="37" t="n"/>
      <c r="I286" s="39" t="inlineStr">
        <is>
          <t>系统权限一般开课前一周开放</t>
        </is>
      </c>
      <c r="J286" s="36" t="n"/>
    </row>
    <row r="287">
      <c r="A287" s="36" t="inlineStr">
        <is>
          <t>通讯与账号</t>
        </is>
      </c>
      <c r="B287" s="37" t="inlineStr">
        <is>
          <t>D-DAY 出发当天</t>
        </is>
      </c>
      <c r="C287" s="38" t="inlineStr">
        <is>
          <t>预装 App</t>
        </is>
      </c>
      <c r="D287" s="37" t="inlineStr">
        <is>
          <t>未完成</t>
        </is>
      </c>
      <c r="E287" s="37" t="inlineStr">
        <is>
          <t>是</t>
        </is>
      </c>
      <c r="F287" s="37" t="inlineStr"/>
      <c r="G287" s="37" t="n"/>
      <c r="H287" s="37" t="n"/>
      <c r="I287" s="39" t="inlineStr">
        <is>
          <t>Grab、Singpass、hi!App、SimplyGo、Telegram、WhatsApp、Carousell、Shopee、Lazada、HealthHub、Google Maps</t>
        </is>
      </c>
      <c r="J287" s="36" t="n"/>
    </row>
    <row r="288">
      <c r="A288" s="36" t="inlineStr">
        <is>
          <t>通讯与账号</t>
        </is>
      </c>
      <c r="B288" s="37" t="inlineStr">
        <is>
          <t>T-7 出发前一周</t>
        </is>
      </c>
      <c r="C288" s="38" t="inlineStr">
        <is>
          <t>华为手机：提前装好谷歌框架 + 需要的 App</t>
        </is>
      </c>
      <c r="D288" s="37" t="inlineStr">
        <is>
          <t>未完成</t>
        </is>
      </c>
      <c r="E288" s="37" t="inlineStr"/>
      <c r="F288" s="37" t="inlineStr"/>
      <c r="G288" s="37" t="n"/>
      <c r="H288" s="37" t="n"/>
      <c r="I288" s="39" t="inlineStr">
        <is>
          <t>小红书 @杂菜饭主理人「25fall新硕留子の开学清单」868赞，NTU 专属，2026-09 专门列了这条，落地再弄很麻烦</t>
        </is>
      </c>
      <c r="J288" s="36" t="n"/>
    </row>
    <row r="289">
      <c r="A289" s="36" t="inlineStr">
        <is>
          <t>通讯与账号</t>
        </is>
      </c>
      <c r="B289" s="37" t="inlineStr">
        <is>
          <t>T-7 出发前一周</t>
        </is>
      </c>
      <c r="C289" s="38" t="inlineStr">
        <is>
          <t>重要资料备份到硬盘 + 云盘</t>
        </is>
      </c>
      <c r="D289" s="37" t="inlineStr">
        <is>
          <t>未完成</t>
        </is>
      </c>
      <c r="E289" s="37" t="inlineStr"/>
      <c r="F289" s="37" t="inlineStr"/>
      <c r="G289" s="37" t="n"/>
      <c r="H289" s="37" t="n"/>
      <c r="I289" s="39" t="inlineStr"/>
      <c r="J289" s="36" t="n"/>
    </row>
    <row r="290">
      <c r="A290" s="36" t="inlineStr">
        <is>
          <t>通讯与账号</t>
        </is>
      </c>
      <c r="B290" s="37" t="inlineStr">
        <is>
          <t>T-7 出发前一周</t>
        </is>
      </c>
      <c r="C290" s="38" t="inlineStr">
        <is>
          <t>云盘扩容 / 续费</t>
        </is>
      </c>
      <c r="D290" s="37" t="inlineStr">
        <is>
          <t>未完成</t>
        </is>
      </c>
      <c r="E290" s="37" t="inlineStr"/>
      <c r="F290" s="37" t="inlineStr"/>
      <c r="G290" s="37" t="n"/>
      <c r="H290" s="37" t="n"/>
      <c r="I290" s="39" t="inlineStr"/>
      <c r="J290" s="36" t="n"/>
    </row>
    <row r="291">
      <c r="A291" s="36" t="inlineStr">
        <is>
          <t>通讯与账号</t>
        </is>
      </c>
      <c r="B291" s="37" t="inlineStr">
        <is>
          <t>W1 第一周</t>
        </is>
      </c>
      <c r="C291" s="38" t="inlineStr">
        <is>
          <t>确认住处 WiFi，或自己办宽带</t>
        </is>
      </c>
      <c r="D291" s="37" t="inlineStr">
        <is>
          <t>未完成</t>
        </is>
      </c>
      <c r="E291" s="37" t="inlineStr"/>
      <c r="F291" s="37" t="inlineStr"/>
      <c r="G291" s="37" t="n"/>
      <c r="H291" s="37" t="n"/>
      <c r="I291" s="39" t="inlineStr"/>
      <c r="J291" s="36" t="n"/>
    </row>
    <row r="292">
      <c r="A292" s="36" t="inlineStr">
        <is>
          <t>通讯与账号</t>
        </is>
      </c>
      <c r="B292" s="37" t="inlineStr">
        <is>
          <t>T-7 出发前一周</t>
        </is>
      </c>
      <c r="C292" s="38" t="inlineStr">
        <is>
          <t>跨境访问国内服务的准备</t>
        </is>
      </c>
      <c r="D292" s="37" t="inlineStr">
        <is>
          <t>未完成</t>
        </is>
      </c>
      <c r="E292" s="37" t="inlineStr"/>
      <c r="F292" s="37" t="inlineStr"/>
      <c r="G292" s="37" t="n"/>
      <c r="H292" s="37" t="n"/>
      <c r="I292" s="39" t="inlineStr"/>
      <c r="J292" s="36" t="n"/>
    </row>
    <row r="293">
      <c r="A293" s="36" t="inlineStr">
        <is>
          <t>通讯与账号</t>
        </is>
      </c>
      <c r="B293" s="37" t="inlineStr">
        <is>
          <t>T-7 出发前一周</t>
        </is>
      </c>
      <c r="C293" s="38" t="inlineStr">
        <is>
          <t>和家人约定好报平安的方式和时间</t>
        </is>
      </c>
      <c r="D293" s="37" t="inlineStr">
        <is>
          <t>未完成</t>
        </is>
      </c>
      <c r="E293" s="37" t="inlineStr"/>
      <c r="F293" s="37" t="inlineStr"/>
      <c r="G293" s="37" t="n"/>
      <c r="H293" s="37" t="n"/>
      <c r="I293" s="39" t="inlineStr"/>
      <c r="J293" s="36" t="n"/>
    </row>
    <row r="294">
      <c r="A294" s="36" t="inlineStr">
        <is>
          <t>落地采购</t>
        </is>
      </c>
      <c r="B294" s="37" t="inlineStr">
        <is>
          <t>D+0 落地 48h</t>
        </is>
      </c>
      <c r="C294" s="38" t="inlineStr">
        <is>
          <t>IKEA —— 床品、衣架、收纳、台灯、小家具</t>
        </is>
      </c>
      <c r="D294" s="37" t="inlineStr">
        <is>
          <t>未完成</t>
        </is>
      </c>
      <c r="E294" s="37" t="inlineStr"/>
      <c r="F294" s="37" t="inlineStr">
        <is>
          <t>落地买</t>
        </is>
      </c>
      <c r="G294" s="37" t="n"/>
      <c r="H294" s="37" t="n"/>
      <c r="I294" s="39" t="inlineStr">
        <is>
          <t>有留学生反馈价格和国内差不多（小红书 @松鼠滚果果「新加坡留学落地攻略」812赞，2026-09）</t>
        </is>
      </c>
      <c r="J294" s="36" t="n"/>
    </row>
    <row r="295">
      <c r="A295" s="36" t="inlineStr">
        <is>
          <t>落地采购</t>
        </is>
      </c>
      <c r="B295" s="37" t="inlineStr">
        <is>
          <t>D+0 落地 48h</t>
        </is>
      </c>
      <c r="C295" s="38" t="inlineStr">
        <is>
          <t>Courts —— 家电、床品</t>
        </is>
      </c>
      <c r="D295" s="37" t="inlineStr">
        <is>
          <t>未完成</t>
        </is>
      </c>
      <c r="E295" s="37" t="inlineStr"/>
      <c r="F295" s="37" t="inlineStr">
        <is>
          <t>落地买</t>
        </is>
      </c>
      <c r="G295" s="37" t="n"/>
      <c r="H295" s="37" t="n"/>
      <c r="I295" s="39" t="inlineStr">
        <is>
          <t>小红书 @杂菜饭主理人「25fall新硕留子の开学清单」868赞，NTU 专属，2026-09 列为床品备选</t>
        </is>
      </c>
      <c r="J295" s="36" t="n"/>
    </row>
    <row r="296">
      <c r="A296" s="36" t="inlineStr">
        <is>
          <t>落地采购</t>
        </is>
      </c>
      <c r="B296" s="37" t="inlineStr">
        <is>
          <t>D+0 落地 48h</t>
        </is>
      </c>
      <c r="C296" s="38" t="inlineStr">
        <is>
          <t>Daiso —— 均一价杂货、收纳、厨房小件</t>
        </is>
      </c>
      <c r="D296" s="37" t="inlineStr">
        <is>
          <t>未完成</t>
        </is>
      </c>
      <c r="E296" s="37" t="inlineStr"/>
      <c r="F296" s="37" t="inlineStr">
        <is>
          <t>落地买</t>
        </is>
      </c>
      <c r="G296" s="37" t="n"/>
      <c r="H296" s="37" t="n"/>
      <c r="I296" s="39" t="inlineStr"/>
      <c r="J296" s="36" t="n"/>
    </row>
    <row r="297">
      <c r="A297" s="36" t="inlineStr">
        <is>
          <t>落地采购</t>
        </is>
      </c>
      <c r="B297" s="37" t="inlineStr">
        <is>
          <t>D+0 落地 48h</t>
        </is>
      </c>
      <c r="C297" s="38" t="inlineStr">
        <is>
          <t>Mustafa —— 24 小时营业，落地当晚缺什么去这</t>
        </is>
      </c>
      <c r="D297" s="37" t="inlineStr">
        <is>
          <t>未完成</t>
        </is>
      </c>
      <c r="E297" s="37" t="inlineStr"/>
      <c r="F297" s="37" t="inlineStr">
        <is>
          <t>落地买</t>
        </is>
      </c>
      <c r="G297" s="37" t="n"/>
      <c r="H297" s="37" t="n"/>
      <c r="I297" s="39" t="inlineStr"/>
      <c r="J297" s="36" t="n"/>
    </row>
    <row r="298">
      <c r="A298" s="36" t="inlineStr">
        <is>
          <t>落地采购</t>
        </is>
      </c>
      <c r="B298" s="37" t="inlineStr">
        <is>
          <t>D+0 落地 48h</t>
        </is>
      </c>
      <c r="C298" s="38" t="inlineStr">
        <is>
          <t>Don Don Donki —— 日货、零食、生鲜</t>
        </is>
      </c>
      <c r="D298" s="37" t="inlineStr">
        <is>
          <t>未完成</t>
        </is>
      </c>
      <c r="E298" s="37" t="inlineStr"/>
      <c r="F298" s="37" t="inlineStr">
        <is>
          <t>落地买</t>
        </is>
      </c>
      <c r="G298" s="37" t="n"/>
      <c r="H298" s="37" t="n"/>
      <c r="I298" s="39" t="inlineStr"/>
      <c r="J298" s="36" t="n"/>
    </row>
    <row r="299">
      <c r="A299" s="36" t="inlineStr">
        <is>
          <t>落地采购</t>
        </is>
      </c>
      <c r="B299" s="37" t="inlineStr">
        <is>
          <t>D+0 落地 48h</t>
        </is>
      </c>
      <c r="C299" s="38" t="inlineStr">
        <is>
          <t>FairPrice / Sheng Siong / Giant —— 日用超市</t>
        </is>
      </c>
      <c r="D299" s="37" t="inlineStr">
        <is>
          <t>未完成</t>
        </is>
      </c>
      <c r="E299" s="37" t="inlineStr"/>
      <c r="F299" s="37" t="inlineStr">
        <is>
          <t>落地买</t>
        </is>
      </c>
      <c r="G299" s="37" t="n"/>
      <c r="H299" s="37" t="n"/>
      <c r="I299" s="39" t="inlineStr"/>
      <c r="J299" s="36" t="n"/>
    </row>
    <row r="300">
      <c r="A300" s="36" t="inlineStr">
        <is>
          <t>落地采购</t>
        </is>
      </c>
      <c r="B300" s="37" t="inlineStr">
        <is>
          <t>D+0 落地 48h</t>
        </is>
      </c>
      <c r="C300" s="38" t="inlineStr">
        <is>
          <t>Shopee / Lazada —— 网购，大件送货上门</t>
        </is>
      </c>
      <c r="D300" s="37" t="inlineStr">
        <is>
          <t>未完成</t>
        </is>
      </c>
      <c r="E300" s="37" t="inlineStr"/>
      <c r="F300" s="37" t="inlineStr">
        <is>
          <t>落地买</t>
        </is>
      </c>
      <c r="G300" s="37" t="n"/>
      <c r="H300" s="37" t="n"/>
      <c r="I300" s="39" t="inlineStr"/>
      <c r="J300" s="36" t="n"/>
    </row>
    <row r="301">
      <c r="A301" s="36" t="inlineStr">
        <is>
          <t>落地采购</t>
        </is>
      </c>
      <c r="B301" s="37" t="inlineStr">
        <is>
          <t>D+0 落地 48h</t>
        </is>
      </c>
      <c r="C301" s="38" t="inlineStr">
        <is>
          <t>Carousell —— 二手家具、毕业生转让，学期初最多</t>
        </is>
      </c>
      <c r="D301" s="37" t="inlineStr">
        <is>
          <t>未完成</t>
        </is>
      </c>
      <c r="E301" s="37" t="inlineStr"/>
      <c r="F301" s="37" t="inlineStr">
        <is>
          <t>落地买</t>
        </is>
      </c>
      <c r="G301" s="37" t="n"/>
      <c r="H301" s="37" t="n"/>
      <c r="I301" s="39" t="inlineStr"/>
      <c r="J301" s="36" t="n"/>
    </row>
    <row r="302">
      <c r="A302" s="36" t="inlineStr">
        <is>
          <t>落地采购</t>
        </is>
      </c>
      <c r="B302" s="37" t="inlineStr">
        <is>
          <t>M1 第一个月</t>
        </is>
      </c>
      <c r="C302" s="38" t="inlineStr">
        <is>
          <t>Decathlon —— 运动用品、泳衣</t>
        </is>
      </c>
      <c r="D302" s="37" t="inlineStr">
        <is>
          <t>未完成</t>
        </is>
      </c>
      <c r="E302" s="37" t="inlineStr"/>
      <c r="F302" s="37" t="inlineStr">
        <is>
          <t>落地买</t>
        </is>
      </c>
      <c r="G302" s="37" t="n"/>
      <c r="H302" s="37" t="n"/>
      <c r="I302" s="39" t="inlineStr"/>
      <c r="J302" s="36" t="n"/>
    </row>
    <row r="303">
      <c r="A303" s="36" t="inlineStr">
        <is>
          <t>落地采购</t>
        </is>
      </c>
      <c r="B303" s="37" t="inlineStr">
        <is>
          <t>D+0 落地 48h</t>
        </is>
      </c>
      <c r="C303" s="38" t="inlineStr">
        <is>
          <t>大瓶洗发水 / 沐浴露 / 护发素</t>
        </is>
      </c>
      <c r="D303" s="37" t="inlineStr">
        <is>
          <t>未完成</t>
        </is>
      </c>
      <c r="E303" s="37" t="inlineStr"/>
      <c r="F303" s="37" t="inlineStr">
        <is>
          <t>落地买</t>
        </is>
      </c>
      <c r="G303" s="37" t="n"/>
      <c r="H303" s="37" t="n"/>
      <c r="I303" s="39" t="inlineStr">
        <is>
          <t>带着沉，本地不贵（小红书 @明天会下雨吗？「新加坡留学之什么真的该带」576赞，2026-09）</t>
        </is>
      </c>
      <c r="J303" s="36" t="n"/>
    </row>
    <row r="304">
      <c r="A304" s="36" t="inlineStr">
        <is>
          <t>落地采购</t>
        </is>
      </c>
      <c r="B304" s="37" t="inlineStr">
        <is>
          <t>D+0 落地 48h</t>
        </is>
      </c>
      <c r="C304" s="38" t="inlineStr">
        <is>
          <t>衣架</t>
        </is>
      </c>
      <c r="D304" s="37" t="inlineStr">
        <is>
          <t>未完成</t>
        </is>
      </c>
      <c r="E304" s="37" t="inlineStr"/>
      <c r="F304" s="37" t="inlineStr">
        <is>
          <t>落地买</t>
        </is>
      </c>
      <c r="G304" s="37" t="n"/>
      <c r="H304" s="37" t="n"/>
      <c r="I304" s="39" t="inlineStr">
        <is>
          <t>本地 1 新约 12 个（小红书 @明天会下雨吗？「新加坡留学之什么真的该带」576赞，2026-09）</t>
        </is>
      </c>
      <c r="J304" s="36" t="n"/>
    </row>
    <row r="305">
      <c r="A305" s="36" t="inlineStr">
        <is>
          <t>落地采购</t>
        </is>
      </c>
      <c r="B305" s="37" t="inlineStr">
        <is>
          <t>D+0 落地 48h</t>
        </is>
      </c>
      <c r="C305" s="38" t="inlineStr">
        <is>
          <t>扫把、拖把、垃圾桶</t>
        </is>
      </c>
      <c r="D305" s="37" t="inlineStr">
        <is>
          <t>未完成</t>
        </is>
      </c>
      <c r="E305" s="37" t="inlineStr"/>
      <c r="F305" s="37" t="inlineStr">
        <is>
          <t>落地买</t>
        </is>
      </c>
      <c r="G305" s="37" t="n"/>
      <c r="H305" s="37" t="n"/>
      <c r="I305" s="39" t="inlineStr"/>
      <c r="J305" s="36" t="n"/>
    </row>
    <row r="306">
      <c r="A306" s="36" t="inlineStr">
        <is>
          <t>落地采购</t>
        </is>
      </c>
      <c r="B306" s="37" t="inlineStr">
        <is>
          <t>D+0 落地 48h</t>
        </is>
      </c>
      <c r="C306" s="38" t="inlineStr">
        <is>
          <t>锅具、餐具、碗盘</t>
        </is>
      </c>
      <c r="D306" s="37" t="inlineStr">
        <is>
          <t>未完成</t>
        </is>
      </c>
      <c r="E306" s="37" t="inlineStr"/>
      <c r="F306" s="37" t="inlineStr">
        <is>
          <t>落地买</t>
        </is>
      </c>
      <c r="G306" s="37" t="n"/>
      <c r="H306" s="37" t="n"/>
      <c r="I306" s="39" t="inlineStr"/>
      <c r="J306" s="36" t="n"/>
    </row>
    <row r="307">
      <c r="A307" s="36" t="inlineStr">
        <is>
          <t>落地采购</t>
        </is>
      </c>
      <c r="B307" s="37" t="inlineStr">
        <is>
          <t>D+0 落地 48h</t>
        </is>
      </c>
      <c r="C307" s="38" t="inlineStr">
        <is>
          <t>电风扇</t>
        </is>
      </c>
      <c r="D307" s="37" t="inlineStr">
        <is>
          <t>未完成</t>
        </is>
      </c>
      <c r="E307" s="37" t="inlineStr"/>
      <c r="F307" s="37" t="inlineStr">
        <is>
          <t>落地买</t>
        </is>
      </c>
      <c r="G307" s="37" t="n"/>
      <c r="H307" s="37" t="n"/>
      <c r="I307" s="39" t="inlineStr"/>
      <c r="J307" s="36" t="n"/>
    </row>
    <row r="308">
      <c r="A308" s="36" t="inlineStr">
        <is>
          <t>落地采购</t>
        </is>
      </c>
      <c r="B308" s="37" t="inlineStr">
        <is>
          <t>D+0 落地 48h</t>
        </is>
      </c>
      <c r="C308" s="38" t="inlineStr">
        <is>
          <t>床垫（如果房间没配）</t>
        </is>
      </c>
      <c r="D308" s="37" t="inlineStr">
        <is>
          <t>未完成</t>
        </is>
      </c>
      <c r="E308" s="37" t="inlineStr"/>
      <c r="F308" s="37" t="inlineStr">
        <is>
          <t>落地买</t>
        </is>
      </c>
      <c r="G308" s="37" t="n"/>
      <c r="H308" s="37" t="n"/>
      <c r="I308" s="39" t="inlineStr"/>
      <c r="J308" s="36" t="n"/>
    </row>
    <row r="309">
      <c r="A309" s="36" t="inlineStr">
        <is>
          <t>落地采购</t>
        </is>
      </c>
      <c r="B309" s="37" t="inlineStr">
        <is>
          <t>M1 第一个月</t>
        </is>
      </c>
      <c r="C309" s="38" t="inlineStr">
        <is>
          <t>熨斗 / 挂烫机（可选）</t>
        </is>
      </c>
      <c r="D309" s="37" t="inlineStr">
        <is>
          <t>未完成</t>
        </is>
      </c>
      <c r="E309" s="37" t="inlineStr"/>
      <c r="F309" s="37" t="inlineStr">
        <is>
          <t>落地买</t>
        </is>
      </c>
      <c r="G309" s="37" t="n"/>
      <c r="H309" s="37" t="n"/>
      <c r="I309" s="39" t="inlineStr"/>
      <c r="J309" s="36" t="n"/>
    </row>
    <row r="310">
      <c r="A310" s="36" t="inlineStr">
        <is>
          <t>落地采购</t>
        </is>
      </c>
      <c r="B310" s="37" t="inlineStr">
        <is>
          <t>W1 第一周</t>
        </is>
      </c>
      <c r="C310" s="38" t="inlineStr">
        <is>
          <t>买东西先问有没有 student price</t>
        </is>
      </c>
      <c r="D310" s="37" t="inlineStr">
        <is>
          <t>未完成</t>
        </is>
      </c>
      <c r="E310" s="37" t="inlineStr"/>
      <c r="F310" s="37" t="inlineStr"/>
      <c r="G310" s="37" t="n"/>
      <c r="H310" s="37" t="n"/>
      <c r="I310" s="39" t="inlineStr"/>
      <c r="J310" s="36" t="n"/>
    </row>
    <row r="311">
      <c r="A311" s="36" t="inlineStr">
        <is>
          <t>国内收尾</t>
        </is>
      </c>
      <c r="B311" s="37" t="inlineStr">
        <is>
          <t>T-30 一个月前</t>
        </is>
      </c>
      <c r="C311" s="38" t="inlineStr">
        <is>
          <t>房子退租 / 东西打包寄存</t>
        </is>
      </c>
      <c r="D311" s="37" t="inlineStr">
        <is>
          <t>未完成</t>
        </is>
      </c>
      <c r="E311" s="37" t="inlineStr"/>
      <c r="F311" s="37" t="inlineStr"/>
      <c r="G311" s="37" t="n"/>
      <c r="H311" s="37" t="n"/>
      <c r="I311" s="39" t="inlineStr"/>
      <c r="J311" s="36" t="n"/>
    </row>
    <row r="312">
      <c r="A312" s="36" t="inlineStr">
        <is>
          <t>国内收尾</t>
        </is>
      </c>
      <c r="B312" s="37" t="inlineStr">
        <is>
          <t>T-7 出发前一周</t>
        </is>
      </c>
      <c r="C312" s="38" t="inlineStr">
        <is>
          <t>更新快递收件地址，退订用不上的订阅</t>
        </is>
      </c>
      <c r="D312" s="37" t="inlineStr">
        <is>
          <t>未完成</t>
        </is>
      </c>
      <c r="E312" s="37" t="inlineStr"/>
      <c r="F312" s="37" t="inlineStr"/>
      <c r="G312" s="37" t="n"/>
      <c r="H312" s="37" t="n"/>
      <c r="I312" s="39" t="inlineStr"/>
      <c r="J312" s="36" t="n"/>
    </row>
    <row r="313">
      <c r="A313" s="36" t="inlineStr">
        <is>
          <t>国内收尾</t>
        </is>
      </c>
      <c r="B313" s="37" t="inlineStr">
        <is>
          <t>T-60+ 两个月前</t>
        </is>
      </c>
      <c r="C313" s="38" t="inlineStr">
        <is>
          <t>档案、户口 怎么处理（问原单位或学校）</t>
        </is>
      </c>
      <c r="D313" s="37" t="inlineStr">
        <is>
          <t>未完成</t>
        </is>
      </c>
      <c r="E313" s="37" t="inlineStr"/>
      <c r="F313" s="37" t="inlineStr"/>
      <c r="G313" s="37" t="n"/>
      <c r="H313" s="37" t="n"/>
      <c r="I313" s="39" t="inlineStr"/>
      <c r="J313" s="36" t="n"/>
    </row>
    <row r="314">
      <c r="A314" s="36" t="inlineStr">
        <is>
          <t>国内收尾</t>
        </is>
      </c>
      <c r="B314" s="37" t="inlineStr">
        <is>
          <t>T-30 一个月前</t>
        </is>
      </c>
      <c r="C314" s="38" t="inlineStr">
        <is>
          <t>梳理银行卡年费和自动扣款，关掉不用的</t>
        </is>
      </c>
      <c r="D314" s="37" t="inlineStr">
        <is>
          <t>未完成</t>
        </is>
      </c>
      <c r="E314" s="37" t="inlineStr"/>
      <c r="F314" s="37" t="inlineStr"/>
      <c r="G314" s="37" t="n"/>
      <c r="H314" s="37" t="n"/>
      <c r="I314" s="39" t="inlineStr"/>
      <c r="J314" s="36" t="n"/>
    </row>
    <row r="315">
      <c r="A315" s="36" t="inlineStr">
        <is>
          <t>国内收尾</t>
        </is>
      </c>
      <c r="B315" s="37" t="inlineStr">
        <is>
          <t>T-30 一个月前</t>
        </is>
      </c>
      <c r="C315" s="38" t="inlineStr">
        <is>
          <t>确认社保、公积金、驾照的处理方式</t>
        </is>
      </c>
      <c r="D315" s="37" t="inlineStr">
        <is>
          <t>未完成</t>
        </is>
      </c>
      <c r="E315" s="37" t="inlineStr"/>
      <c r="F315" s="37" t="inlineStr"/>
      <c r="G315" s="37" t="n"/>
      <c r="H315" s="37" t="n"/>
      <c r="I315" s="39" t="inlineStr"/>
      <c r="J315" s="36" t="n"/>
    </row>
    <row r="316">
      <c r="A316" s="36" t="inlineStr">
        <is>
          <t>国内收尾</t>
        </is>
      </c>
      <c r="B316" s="37" t="inlineStr">
        <is>
          <t>T-30 一个月前</t>
        </is>
      </c>
      <c r="C316" s="38" t="inlineStr">
        <is>
          <t>能在国内修的电子设备先修</t>
        </is>
      </c>
      <c r="D316" s="37" t="inlineStr">
        <is>
          <t>未完成</t>
        </is>
      </c>
      <c r="E316" s="37" t="inlineStr"/>
      <c r="F316" s="37" t="inlineStr"/>
      <c r="G316" s="37" t="n"/>
      <c r="H316" s="37" t="n"/>
      <c r="I316" s="39" t="inlineStr"/>
      <c r="J316" s="36" t="n"/>
    </row>
    <row r="317">
      <c r="A317" s="36" t="inlineStr">
        <is>
          <t>国内收尾</t>
        </is>
      </c>
      <c r="B317" s="37" t="inlineStr">
        <is>
          <t>T-7 出发前一周</t>
        </is>
      </c>
      <c r="C317" s="38" t="inlineStr">
        <is>
          <t>理发</t>
        </is>
      </c>
      <c r="D317" s="37" t="inlineStr">
        <is>
          <t>未完成</t>
        </is>
      </c>
      <c r="E317" s="37" t="inlineStr"/>
      <c r="F317" s="37" t="inlineStr"/>
      <c r="G317" s="37" t="n"/>
      <c r="H317" s="37" t="n"/>
      <c r="I317" s="39" t="inlineStr"/>
      <c r="J317" s="36" t="n"/>
    </row>
    <row r="318">
      <c r="A318" s="36" t="inlineStr">
        <is>
          <t>国内收尾</t>
        </is>
      </c>
      <c r="B318" s="37" t="inlineStr">
        <is>
          <t>T-7 出发前一周</t>
        </is>
      </c>
      <c r="C318" s="38" t="inlineStr">
        <is>
          <t>和家人朋友告别，留好联系方式</t>
        </is>
      </c>
      <c r="D318" s="37" t="inlineStr">
        <is>
          <t>未完成</t>
        </is>
      </c>
      <c r="E318" s="37" t="inlineStr"/>
      <c r="F318" s="37" t="inlineStr"/>
      <c r="G318" s="37" t="n"/>
      <c r="H318" s="37" t="n"/>
      <c r="I318" s="39" t="inlineStr"/>
      <c r="J318" s="36" t="n"/>
    </row>
    <row r="319">
      <c r="A319" s="36" t="inlineStr">
        <is>
          <t>国内收尾</t>
        </is>
      </c>
      <c r="B319" s="37" t="inlineStr">
        <is>
          <t>T-7 出发前一周</t>
        </is>
      </c>
      <c r="C319" s="38" t="inlineStr">
        <is>
          <t>家里留一份证件复印件和完整行程</t>
        </is>
      </c>
      <c r="D319" s="37" t="inlineStr">
        <is>
          <t>未完成</t>
        </is>
      </c>
      <c r="E319" s="37" t="inlineStr">
        <is>
          <t>是</t>
        </is>
      </c>
      <c r="F319" s="37" t="inlineStr"/>
      <c r="G319" s="37" t="n"/>
      <c r="H319" s="37" t="n"/>
      <c r="I319" s="39" t="inlineStr"/>
      <c r="J319" s="36" t="n"/>
    </row>
    <row r="320">
      <c r="A320" s="36" t="inlineStr">
        <is>
          <t>国内收尾</t>
        </is>
      </c>
      <c r="B320" s="37" t="inlineStr">
        <is>
          <t>T-7 出发前一周</t>
        </is>
      </c>
      <c r="C320" s="38" t="inlineStr">
        <is>
          <t>手机清理存储空间</t>
        </is>
      </c>
      <c r="D320" s="37" t="inlineStr">
        <is>
          <t>未完成</t>
        </is>
      </c>
      <c r="E320" s="37" t="inlineStr"/>
      <c r="F320" s="37" t="inlineStr"/>
      <c r="G320" s="37" t="n"/>
      <c r="H320" s="37" t="n"/>
      <c r="I320" s="39" t="inlineStr"/>
      <c r="J320" s="36" t="n"/>
    </row>
    <row r="321">
      <c r="A321" s="36" t="inlineStr">
        <is>
          <t>红线 · 别带</t>
        </is>
      </c>
      <c r="B321" s="37" t="inlineStr">
        <is>
          <t>T-7 出发前一周</t>
        </is>
      </c>
      <c r="C321" s="38" t="inlineStr">
        <is>
          <t>确认没带口香糖</t>
        </is>
      </c>
      <c r="D321" s="37" t="inlineStr">
        <is>
          <t>未完成</t>
        </is>
      </c>
      <c r="E321" s="37" t="inlineStr">
        <is>
          <t>是</t>
        </is>
      </c>
      <c r="F321" s="37" t="inlineStr"/>
      <c r="G321" s="37" t="n"/>
      <c r="H321" s="37" t="n"/>
      <c r="I321" s="39" t="inlineStr">
        <is>
          <t>除医用处方口香糖外一律禁止入境</t>
        </is>
      </c>
      <c r="J321" s="36" t="n"/>
    </row>
    <row r="322">
      <c r="A322" s="36" t="inlineStr">
        <is>
          <t>红线 · 别带</t>
        </is>
      </c>
      <c r="B322" s="37" t="inlineStr">
        <is>
          <t>T-7 出发前一周</t>
        </is>
      </c>
      <c r="C322" s="38" t="inlineStr">
        <is>
          <t>确认没带电子烟、加热烟、烟油</t>
        </is>
      </c>
      <c r="D322" s="37" t="inlineStr">
        <is>
          <t>未完成</t>
        </is>
      </c>
      <c r="E322" s="37" t="inlineStr">
        <is>
          <t>是</t>
        </is>
      </c>
      <c r="F322" s="37" t="inlineStr"/>
      <c r="G322" s="37" t="n"/>
      <c r="H322" s="37" t="n"/>
      <c r="I322" s="39" t="inlineStr">
        <is>
          <t>无论用没用过、自用还是送人，携带即违法，罚得很重</t>
        </is>
      </c>
      <c r="J322" s="36" t="n"/>
    </row>
    <row r="323">
      <c r="A323" s="36" t="inlineStr">
        <is>
          <t>红线 · 别带</t>
        </is>
      </c>
      <c r="B323" s="37" t="inlineStr">
        <is>
          <t>T-7 出发前一周</t>
        </is>
      </c>
      <c r="C323" s="38" t="inlineStr">
        <is>
          <t>确认没带含麻黄碱 / 可待因 / 吗啡成分的药</t>
        </is>
      </c>
      <c r="D323" s="37" t="inlineStr">
        <is>
          <t>未完成</t>
        </is>
      </c>
      <c r="E323" s="37" t="inlineStr">
        <is>
          <t>是</t>
        </is>
      </c>
      <c r="F323" s="37" t="inlineStr"/>
      <c r="G323" s="37" t="n"/>
      <c r="H323" s="37" t="n"/>
      <c r="I323" s="39" t="inlineStr">
        <is>
          <t>部分复方感冒药和止咳糖浆属管制药物</t>
        </is>
      </c>
      <c r="J323" s="36" t="n"/>
    </row>
    <row r="324">
      <c r="A324" s="36" t="inlineStr">
        <is>
          <t>红线 · 别带</t>
        </is>
      </c>
      <c r="B324" s="37" t="inlineStr">
        <is>
          <t>T-7 出发前一周</t>
        </is>
      </c>
      <c r="C324" s="38" t="inlineStr">
        <is>
          <t>确认没带含濒危动植物成分的中成药</t>
        </is>
      </c>
      <c r="D324" s="37" t="inlineStr">
        <is>
          <t>未完成</t>
        </is>
      </c>
      <c r="E324" s="37" t="inlineStr">
        <is>
          <t>是</t>
        </is>
      </c>
      <c r="F324" s="37" t="inlineStr"/>
      <c r="G324" s="37" t="n"/>
      <c r="H324" s="37" t="n"/>
      <c r="I324" s="39" t="inlineStr">
        <is>
          <t>麝香、羚羊角这类会被没收并开扣押通知</t>
        </is>
      </c>
      <c r="J324" s="36" t="n"/>
    </row>
    <row r="325">
      <c r="A325" s="36" t="inlineStr">
        <is>
          <t>红线 · 别带</t>
        </is>
      </c>
      <c r="B325" s="37" t="inlineStr">
        <is>
          <t>T-7 出发前一周</t>
        </is>
      </c>
      <c r="C325" s="38" t="inlineStr">
        <is>
          <t>确认没带肉类及肉制品</t>
        </is>
      </c>
      <c r="D325" s="37" t="inlineStr">
        <is>
          <t>未完成</t>
        </is>
      </c>
      <c r="E325" s="37" t="inlineStr">
        <is>
          <t>是</t>
        </is>
      </c>
      <c r="F325" s="37" t="inlineStr"/>
      <c r="G325" s="37" t="n"/>
      <c r="H325" s="37" t="n"/>
      <c r="I325" s="39" t="inlineStr">
        <is>
          <t>需许可且限量，包括腊肠、肉松、真空熟食</t>
        </is>
      </c>
      <c r="J325" s="36" t="n"/>
    </row>
    <row r="326">
      <c r="A326" s="36" t="inlineStr">
        <is>
          <t>红线 · 别带</t>
        </is>
      </c>
      <c r="B326" s="37" t="inlineStr">
        <is>
          <t>T-7 出发前一周</t>
        </is>
      </c>
      <c r="C326" s="38" t="inlineStr">
        <is>
          <t>烟酒超量要主动申报缴税</t>
        </is>
      </c>
      <c r="D326" s="37" t="inlineStr">
        <is>
          <t>未完成</t>
        </is>
      </c>
      <c r="E326" s="37" t="inlineStr"/>
      <c r="F326" s="37" t="inlineStr"/>
      <c r="G326" s="37" t="n"/>
      <c r="H326" s="37" t="n"/>
      <c r="I326" s="39" t="inlineStr"/>
      <c r="J326" s="36" t="n"/>
    </row>
    <row r="327">
      <c r="A327" s="36" t="inlineStr">
        <is>
          <t>红线 · 别带</t>
        </is>
      </c>
      <c r="B327" s="37" t="inlineStr">
        <is>
          <t>T-7 出发前一周</t>
        </is>
      </c>
      <c r="C327" s="38" t="inlineStr">
        <is>
          <t>打火机、超容量充电宝 不要放行李</t>
        </is>
      </c>
      <c r="D327" s="37" t="inlineStr">
        <is>
          <t>未完成</t>
        </is>
      </c>
      <c r="E327" s="37" t="inlineStr"/>
      <c r="F327" s="37" t="inlineStr"/>
      <c r="G327" s="37" t="n"/>
      <c r="H327" s="37" t="n"/>
      <c r="I327" s="39" t="inlineStr"/>
      <c r="J327" s="36" t="n"/>
    </row>
    <row r="328">
      <c r="A328" s="36" t="inlineStr">
        <is>
          <t>红线 · 别带</t>
        </is>
      </c>
      <c r="B328" s="37" t="inlineStr">
        <is>
          <t>T-7 出发前一周</t>
        </is>
      </c>
      <c r="C328" s="38" t="inlineStr">
        <is>
          <t>新鲜果蔬、种子、植物 有限制</t>
        </is>
      </c>
      <c r="D328" s="37" t="inlineStr">
        <is>
          <t>未完成</t>
        </is>
      </c>
      <c r="E328" s="37" t="inlineStr"/>
      <c r="F328" s="37" t="inlineStr"/>
      <c r="G328" s="37" t="n"/>
      <c r="H328" s="37" t="n"/>
      <c r="I328" s="39" t="inlineStr">
        <is>
          <t>待核实具体品类</t>
        </is>
      </c>
      <c r="J328" s="36" t="n"/>
    </row>
    <row r="329">
      <c r="A329" s="36" t="inlineStr">
        <is>
          <t>红线 · 别带</t>
        </is>
      </c>
      <c r="B329" s="37" t="inlineStr">
        <is>
          <t>T-7 出发前一周</t>
        </is>
      </c>
      <c r="C329" s="38" t="inlineStr">
        <is>
          <t>携带大额现金入境需申报</t>
        </is>
      </c>
      <c r="D329" s="37" t="inlineStr">
        <is>
          <t>未完成</t>
        </is>
      </c>
      <c r="E329" s="37" t="inlineStr"/>
      <c r="F329" s="37" t="inlineStr"/>
      <c r="G329" s="37" t="n"/>
      <c r="H329" s="37" t="n"/>
      <c r="I329" s="39" t="inlineStr">
        <is>
          <t>门槛金额待核实，以 ICA 官网为准</t>
        </is>
      </c>
      <c r="J329" s="36" t="n"/>
    </row>
    <row r="330">
      <c r="A330" s="36" t="inlineStr">
        <is>
          <t>红线 · 别带</t>
        </is>
      </c>
      <c r="B330" s="37" t="inlineStr">
        <is>
          <t>T-7 出发前一周</t>
        </is>
      </c>
      <c r="C330" s="38" t="inlineStr">
        <is>
          <t>绝对不帮任何人带东西</t>
        </is>
      </c>
      <c r="D330" s="37" t="inlineStr">
        <is>
          <t>未完成</t>
        </is>
      </c>
      <c r="E330" s="37" t="inlineStr">
        <is>
          <t>是</t>
        </is>
      </c>
      <c r="F330" s="37" t="inlineStr"/>
      <c r="G330" s="37" t="n"/>
      <c r="H330" s="37" t="n"/>
      <c r="I330" s="39" t="inlineStr">
        <is>
          <t>新加坡毒品犯罪可判死刑</t>
        </is>
      </c>
      <c r="J330" s="36" t="n"/>
    </row>
    <row r="331">
      <c r="A331" s="36" t="inlineStr">
        <is>
          <t>不建议带</t>
        </is>
      </c>
      <c r="B331" s="37" t="inlineStr">
        <is>
          <t>T-7 出发前一周</t>
        </is>
      </c>
      <c r="C331" s="38" t="inlineStr">
        <is>
          <t>衣架 —— 别带</t>
        </is>
      </c>
      <c r="D331" s="37" t="inlineStr">
        <is>
          <t>未完成</t>
        </is>
      </c>
      <c r="E331" s="37" t="inlineStr"/>
      <c r="F331" s="37" t="inlineStr"/>
      <c r="G331" s="37" t="n"/>
      <c r="H331" s="37" t="n"/>
      <c r="I331" s="39" t="inlineStr">
        <is>
          <t>本地 1 新约 12 个，够用（小红书 @明天会下雨吗？「新加坡留学之什么真的该带」576赞，2026-09）</t>
        </is>
      </c>
      <c r="J331" s="36" t="n"/>
    </row>
    <row r="332">
      <c r="A332" s="36" t="inlineStr">
        <is>
          <t>不建议带</t>
        </is>
      </c>
      <c r="B332" s="37" t="inlineStr">
        <is>
          <t>T-7 出发前一周</t>
        </is>
      </c>
      <c r="C332" s="38" t="inlineStr">
        <is>
          <t>垃圾桶和脸盆 —— 别带</t>
        </is>
      </c>
      <c r="D332" s="37" t="inlineStr">
        <is>
          <t>未完成</t>
        </is>
      </c>
      <c r="E332" s="37" t="inlineStr"/>
      <c r="F332" s="37" t="inlineStr"/>
      <c r="G332" s="37" t="n"/>
      <c r="H332" s="37" t="n"/>
      <c r="I332" s="39" t="inlineStr">
        <is>
          <t>小红书 @明天会下雨吗？「新加坡留学之什么真的该带」576赞，2026-09：基本用不太到，直接上垃圾袋然后扔掉就好</t>
        </is>
      </c>
      <c r="J332" s="36" t="n"/>
    </row>
    <row r="333">
      <c r="A333" s="36" t="inlineStr">
        <is>
          <t>不建议带</t>
        </is>
      </c>
      <c r="B333" s="37" t="inlineStr">
        <is>
          <t>T-7 出发前一周</t>
        </is>
      </c>
      <c r="C333" s="38" t="inlineStr">
        <is>
          <t>大量打印材料 —— 别带</t>
        </is>
      </c>
      <c r="D333" s="37" t="inlineStr">
        <is>
          <t>未完成</t>
        </is>
      </c>
      <c r="E333" s="37" t="inlineStr"/>
      <c r="F333" s="37" t="inlineStr"/>
      <c r="G333" s="37" t="n"/>
      <c r="H333" s="37" t="n"/>
      <c r="I333" s="39" t="inlineStr">
        <is>
          <t>小红书 @明天会下雨吗？「新加坡留学之什么真的该带」576赞，2026-09：IPA 和 offer 各打印两份就行，行程单打印了也没用到</t>
        </is>
      </c>
      <c r="J333" s="36" t="n"/>
    </row>
    <row r="334">
      <c r="A334" s="36" t="inlineStr">
        <is>
          <t>不建议带</t>
        </is>
      </c>
      <c r="B334" s="37" t="inlineStr">
        <is>
          <t>T-7 出发前一周</t>
        </is>
      </c>
      <c r="C334" s="38" t="inlineStr">
        <is>
          <t>大瓶洗发水沐浴露 —— 别带</t>
        </is>
      </c>
      <c r="D334" s="37" t="inlineStr">
        <is>
          <t>未完成</t>
        </is>
      </c>
      <c r="E334" s="37" t="inlineStr"/>
      <c r="F334" s="37" t="inlineStr"/>
      <c r="G334" s="37" t="n"/>
      <c r="H334" s="37" t="n"/>
      <c r="I334" s="39" t="inlineStr">
        <is>
          <t>沉，本地也不贵（小红书 @明天会下雨吗？「新加坡留学之什么真的该带」576赞，2026-09）</t>
        </is>
      </c>
      <c r="J334" s="36" t="n"/>
    </row>
    <row r="335">
      <c r="A335" s="36" t="inlineStr">
        <is>
          <t>不建议带</t>
        </is>
      </c>
      <c r="B335" s="37" t="inlineStr">
        <is>
          <t>T-7 出发前一周</t>
        </is>
      </c>
      <c r="C335" s="38" t="inlineStr">
        <is>
          <t>大量卫生巾 —— 别囤</t>
        </is>
      </c>
      <c r="D335" s="37" t="inlineStr">
        <is>
          <t>未完成</t>
        </is>
      </c>
      <c r="E335" s="37" t="inlineStr"/>
      <c r="F335" s="37" t="inlineStr"/>
      <c r="G335" s="37" t="n"/>
      <c r="H335" s="37" t="n"/>
      <c r="I335" s="39" t="inlineStr">
        <is>
          <t>楼下商超有很便宜的，带过渡量就行（小红书 @明天会下雨吗？「新加坡留学之什么真的该带」576赞，2026-09）</t>
        </is>
      </c>
      <c r="J335" s="36" t="n"/>
    </row>
    <row r="336">
      <c r="A336" s="36" t="inlineStr">
        <is>
          <t>不建议带</t>
        </is>
      </c>
      <c r="B336" s="37" t="inlineStr">
        <is>
          <t>T-7 出发前一周</t>
        </is>
      </c>
      <c r="C336" s="38" t="inlineStr">
        <is>
          <t>厚衣服、毛衣、羽绒服 —— 别带</t>
        </is>
      </c>
      <c r="D336" s="37" t="inlineStr">
        <is>
          <t>未完成</t>
        </is>
      </c>
      <c r="E336" s="37" t="inlineStr"/>
      <c r="F336" s="37" t="inlineStr"/>
      <c r="G336" s="37" t="n"/>
      <c r="H336" s="37" t="n"/>
      <c r="I336" s="39" t="inlineStr">
        <is>
          <t>全年 25–33°C，只有空调房需要薄外套</t>
        </is>
      </c>
      <c r="J336" s="36" t="n"/>
    </row>
    <row r="337">
      <c r="A337" s="36" t="inlineStr">
        <is>
          <t>不建议带</t>
        </is>
      </c>
      <c r="B337" s="37" t="inlineStr">
        <is>
          <t>T-7 出发前一周</t>
        </is>
      </c>
      <c r="C337" s="38" t="inlineStr">
        <is>
          <t>厚被子棉被 —— 别带</t>
        </is>
      </c>
      <c r="D337" s="37" t="inlineStr">
        <is>
          <t>未完成</t>
        </is>
      </c>
      <c r="E337" s="37" t="inlineStr"/>
      <c r="F337" s="37" t="inlineStr"/>
      <c r="G337" s="37" t="n"/>
      <c r="H337" s="37" t="n"/>
      <c r="I337" s="39" t="inlineStr">
        <is>
          <t>只需要一床空调被</t>
        </is>
      </c>
      <c r="J337" s="36" t="n"/>
    </row>
    <row r="338">
      <c r="A338" s="36" t="inlineStr">
        <is>
          <t>不建议带</t>
        </is>
      </c>
      <c r="B338" s="37" t="inlineStr">
        <is>
          <t>T-7 出发前一周</t>
        </is>
      </c>
      <c r="C338" s="38" t="inlineStr">
        <is>
          <t>大量零食 —— 别囤</t>
        </is>
      </c>
      <c r="D338" s="37" t="inlineStr">
        <is>
          <t>未完成</t>
        </is>
      </c>
      <c r="E338" s="37" t="inlineStr"/>
      <c r="F338" s="37" t="inlineStr"/>
      <c r="G338" s="37" t="n"/>
      <c r="H338" s="37" t="n"/>
      <c r="I338" s="39" t="inlineStr">
        <is>
          <t>Don Don Donki 和超市都有，还占行李额</t>
        </is>
      </c>
      <c r="J338" s="36" t="n"/>
    </row>
    <row r="339">
      <c r="A339" s="36" t="inlineStr">
        <is>
          <t>不建议带</t>
        </is>
      </c>
      <c r="B339" s="37" t="inlineStr">
        <is>
          <t>T-7 出发前一周</t>
        </is>
      </c>
      <c r="C339" s="38" t="inlineStr">
        <is>
          <t>大量纸质书 —— 别带</t>
        </is>
      </c>
      <c r="D339" s="37" t="inlineStr">
        <is>
          <t>未完成</t>
        </is>
      </c>
      <c r="E339" s="37" t="inlineStr"/>
      <c r="F339" s="37" t="inlineStr"/>
      <c r="G339" s="37" t="n"/>
      <c r="H339" s="37" t="n"/>
      <c r="I339" s="39" t="inlineStr">
        <is>
          <t>用电子版和图书馆</t>
        </is>
      </c>
      <c r="J339" s="36" t="n"/>
    </row>
    <row r="340">
      <c r="A340" s="36" t="inlineStr">
        <is>
          <t>不建议带</t>
        </is>
      </c>
      <c r="B340" s="37" t="inlineStr">
        <is>
          <t>T-7 出发前一周</t>
        </is>
      </c>
      <c r="C340" s="38" t="inlineStr">
        <is>
          <t>三脚架 —— 看需求</t>
        </is>
      </c>
      <c r="D340" s="37" t="inlineStr">
        <is>
          <t>未完成</t>
        </is>
      </c>
      <c r="E340" s="37" t="inlineStr"/>
      <c r="F340" s="37" t="inlineStr"/>
      <c r="G340" s="37" t="n"/>
      <c r="H340" s="37" t="n"/>
      <c r="I340" s="39" t="inlineStr">
        <is>
          <t>小红书 @明天会下雨吗？「新加坡留学之什么真的该带」576赞，2026-09 说公立学校可能需要，但本人没用到；按自己专业判断，待核实</t>
        </is>
      </c>
      <c r="J340" s="36" t="n"/>
    </row>
    <row r="341">
      <c r="A341" s="41" t="n"/>
      <c r="B341" s="42" t="n"/>
      <c r="C341" s="43" t="n"/>
      <c r="D341" s="42" t="inlineStr">
        <is>
          <t>未完成</t>
        </is>
      </c>
      <c r="E341" s="42" t="n"/>
      <c r="F341" s="42" t="n"/>
      <c r="G341" s="42" t="n"/>
      <c r="H341" s="42" t="n"/>
      <c r="I341" s="44" t="n"/>
      <c r="J341" s="41" t="n"/>
    </row>
    <row r="342">
      <c r="A342" s="41" t="n"/>
      <c r="B342" s="42" t="n"/>
      <c r="C342" s="43" t="n"/>
      <c r="D342" s="42" t="inlineStr">
        <is>
          <t>未完成</t>
        </is>
      </c>
      <c r="E342" s="42" t="n"/>
      <c r="F342" s="42" t="n"/>
      <c r="G342" s="42" t="n"/>
      <c r="H342" s="42" t="n"/>
      <c r="I342" s="44" t="n"/>
      <c r="J342" s="41" t="n"/>
    </row>
    <row r="343">
      <c r="A343" s="41" t="n"/>
      <c r="B343" s="42" t="n"/>
      <c r="C343" s="43" t="n"/>
      <c r="D343" s="42" t="inlineStr">
        <is>
          <t>未完成</t>
        </is>
      </c>
      <c r="E343" s="42" t="n"/>
      <c r="F343" s="42" t="n"/>
      <c r="G343" s="42" t="n"/>
      <c r="H343" s="42" t="n"/>
      <c r="I343" s="44" t="n"/>
      <c r="J343" s="41" t="n"/>
    </row>
    <row r="344">
      <c r="A344" s="41" t="n"/>
      <c r="B344" s="42" t="n"/>
      <c r="C344" s="43" t="n"/>
      <c r="D344" s="42" t="inlineStr">
        <is>
          <t>未完成</t>
        </is>
      </c>
      <c r="E344" s="42" t="n"/>
      <c r="F344" s="42" t="n"/>
      <c r="G344" s="42" t="n"/>
      <c r="H344" s="42" t="n"/>
      <c r="I344" s="44" t="n"/>
      <c r="J344" s="41" t="n"/>
    </row>
    <row r="345">
      <c r="A345" s="41" t="n"/>
      <c r="B345" s="42" t="n"/>
      <c r="C345" s="43" t="n"/>
      <c r="D345" s="42" t="inlineStr">
        <is>
          <t>未完成</t>
        </is>
      </c>
      <c r="E345" s="42" t="n"/>
      <c r="F345" s="42" t="n"/>
      <c r="G345" s="42" t="n"/>
      <c r="H345" s="42" t="n"/>
      <c r="I345" s="44" t="n"/>
      <c r="J345" s="41" t="n"/>
    </row>
    <row r="346">
      <c r="A346" s="41" t="n"/>
      <c r="B346" s="42" t="n"/>
      <c r="C346" s="43" t="n"/>
      <c r="D346" s="42" t="inlineStr">
        <is>
          <t>未完成</t>
        </is>
      </c>
      <c r="E346" s="42" t="n"/>
      <c r="F346" s="42" t="n"/>
      <c r="G346" s="42" t="n"/>
      <c r="H346" s="42" t="n"/>
      <c r="I346" s="44" t="n"/>
      <c r="J346" s="41" t="n"/>
    </row>
    <row r="347">
      <c r="A347" s="41" t="n"/>
      <c r="B347" s="42" t="n"/>
      <c r="C347" s="43" t="n"/>
      <c r="D347" s="42" t="inlineStr">
        <is>
          <t>未完成</t>
        </is>
      </c>
      <c r="E347" s="42" t="n"/>
      <c r="F347" s="42" t="n"/>
      <c r="G347" s="42" t="n"/>
      <c r="H347" s="42" t="n"/>
      <c r="I347" s="44" t="n"/>
      <c r="J347" s="41" t="n"/>
    </row>
    <row r="348">
      <c r="A348" s="41" t="n"/>
      <c r="B348" s="42" t="n"/>
      <c r="C348" s="43" t="n"/>
      <c r="D348" s="42" t="inlineStr">
        <is>
          <t>未完成</t>
        </is>
      </c>
      <c r="E348" s="42" t="n"/>
      <c r="F348" s="42" t="n"/>
      <c r="G348" s="42" t="n"/>
      <c r="H348" s="42" t="n"/>
      <c r="I348" s="44" t="n"/>
      <c r="J348" s="41" t="n"/>
    </row>
    <row r="349">
      <c r="A349" s="41" t="n"/>
      <c r="B349" s="42" t="n"/>
      <c r="C349" s="43" t="n"/>
      <c r="D349" s="42" t="inlineStr">
        <is>
          <t>未完成</t>
        </is>
      </c>
      <c r="E349" s="42" t="n"/>
      <c r="F349" s="42" t="n"/>
      <c r="G349" s="42" t="n"/>
      <c r="H349" s="42" t="n"/>
      <c r="I349" s="44" t="n"/>
      <c r="J349" s="41" t="n"/>
    </row>
    <row r="350">
      <c r="A350" s="41" t="n"/>
      <c r="B350" s="42" t="n"/>
      <c r="C350" s="43" t="n"/>
      <c r="D350" s="42" t="inlineStr">
        <is>
          <t>未完成</t>
        </is>
      </c>
      <c r="E350" s="42" t="n"/>
      <c r="F350" s="42" t="n"/>
      <c r="G350" s="42" t="n"/>
      <c r="H350" s="42" t="n"/>
      <c r="I350" s="44" t="n"/>
      <c r="J350" s="41" t="n"/>
    </row>
    <row r="351">
      <c r="A351" s="41" t="n"/>
      <c r="B351" s="42" t="n"/>
      <c r="C351" s="43" t="n"/>
      <c r="D351" s="42" t="inlineStr">
        <is>
          <t>未完成</t>
        </is>
      </c>
      <c r="E351" s="42" t="n"/>
      <c r="F351" s="42" t="n"/>
      <c r="G351" s="42" t="n"/>
      <c r="H351" s="42" t="n"/>
      <c r="I351" s="44" t="n"/>
      <c r="J351" s="41" t="n"/>
    </row>
    <row r="352">
      <c r="A352" s="41" t="n"/>
      <c r="B352" s="42" t="n"/>
      <c r="C352" s="43" t="n"/>
      <c r="D352" s="42" t="inlineStr">
        <is>
          <t>未完成</t>
        </is>
      </c>
      <c r="E352" s="42" t="n"/>
      <c r="F352" s="42" t="n"/>
      <c r="G352" s="42" t="n"/>
      <c r="H352" s="42" t="n"/>
      <c r="I352" s="44" t="n"/>
      <c r="J352" s="41" t="n"/>
    </row>
    <row r="353">
      <c r="A353" s="41" t="n"/>
      <c r="B353" s="42" t="n"/>
      <c r="C353" s="43" t="n"/>
      <c r="D353" s="42" t="inlineStr">
        <is>
          <t>未完成</t>
        </is>
      </c>
      <c r="E353" s="42" t="n"/>
      <c r="F353" s="42" t="n"/>
      <c r="G353" s="42" t="n"/>
      <c r="H353" s="42" t="n"/>
      <c r="I353" s="44" t="n"/>
      <c r="J353" s="41" t="n"/>
    </row>
    <row r="354">
      <c r="A354" s="41" t="n"/>
      <c r="B354" s="42" t="n"/>
      <c r="C354" s="43" t="n"/>
      <c r="D354" s="42" t="inlineStr">
        <is>
          <t>未完成</t>
        </is>
      </c>
      <c r="E354" s="42" t="n"/>
      <c r="F354" s="42" t="n"/>
      <c r="G354" s="42" t="n"/>
      <c r="H354" s="42" t="n"/>
      <c r="I354" s="44" t="n"/>
      <c r="J354" s="41" t="n"/>
    </row>
    <row r="355">
      <c r="A355" s="41" t="n"/>
      <c r="B355" s="42" t="n"/>
      <c r="C355" s="43" t="n"/>
      <c r="D355" s="42" t="inlineStr">
        <is>
          <t>未完成</t>
        </is>
      </c>
      <c r="E355" s="42" t="n"/>
      <c r="F355" s="42" t="n"/>
      <c r="G355" s="42" t="n"/>
      <c r="H355" s="42" t="n"/>
      <c r="I355" s="44" t="n"/>
      <c r="J355" s="41" t="n"/>
    </row>
    <row r="356">
      <c r="A356" s="41" t="n"/>
      <c r="B356" s="42" t="n"/>
      <c r="C356" s="43" t="n"/>
      <c r="D356" s="42" t="inlineStr">
        <is>
          <t>未完成</t>
        </is>
      </c>
      <c r="E356" s="42" t="n"/>
      <c r="F356" s="42" t="n"/>
      <c r="G356" s="42" t="n"/>
      <c r="H356" s="42" t="n"/>
      <c r="I356" s="44" t="n"/>
      <c r="J356" s="41" t="n"/>
    </row>
    <row r="357">
      <c r="A357" s="41" t="n"/>
      <c r="B357" s="42" t="n"/>
      <c r="C357" s="43" t="n"/>
      <c r="D357" s="42" t="inlineStr">
        <is>
          <t>未完成</t>
        </is>
      </c>
      <c r="E357" s="42" t="n"/>
      <c r="F357" s="42" t="n"/>
      <c r="G357" s="42" t="n"/>
      <c r="H357" s="42" t="n"/>
      <c r="I357" s="44" t="n"/>
      <c r="J357" s="41" t="n"/>
    </row>
    <row r="358">
      <c r="A358" s="41" t="n"/>
      <c r="B358" s="42" t="n"/>
      <c r="C358" s="43" t="n"/>
      <c r="D358" s="42" t="inlineStr">
        <is>
          <t>未完成</t>
        </is>
      </c>
      <c r="E358" s="42" t="n"/>
      <c r="F358" s="42" t="n"/>
      <c r="G358" s="42" t="n"/>
      <c r="H358" s="42" t="n"/>
      <c r="I358" s="44" t="n"/>
      <c r="J358" s="41" t="n"/>
    </row>
    <row r="359">
      <c r="A359" s="41" t="n"/>
      <c r="B359" s="42" t="n"/>
      <c r="C359" s="43" t="n"/>
      <c r="D359" s="42" t="inlineStr">
        <is>
          <t>未完成</t>
        </is>
      </c>
      <c r="E359" s="42" t="n"/>
      <c r="F359" s="42" t="n"/>
      <c r="G359" s="42" t="n"/>
      <c r="H359" s="42" t="n"/>
      <c r="I359" s="44" t="n"/>
      <c r="J359" s="41" t="n"/>
    </row>
    <row r="360">
      <c r="A360" s="41" t="n"/>
      <c r="B360" s="42" t="n"/>
      <c r="C360" s="43" t="n"/>
      <c r="D360" s="42" t="inlineStr">
        <is>
          <t>未完成</t>
        </is>
      </c>
      <c r="E360" s="42" t="n"/>
      <c r="F360" s="42" t="n"/>
      <c r="G360" s="42" t="n"/>
      <c r="H360" s="42" t="n"/>
      <c r="I360" s="44" t="n"/>
      <c r="J360" s="41" t="n"/>
    </row>
    <row r="361">
      <c r="A361" s="41" t="n"/>
      <c r="B361" s="42" t="n"/>
      <c r="C361" s="43" t="n"/>
      <c r="D361" s="42" t="inlineStr">
        <is>
          <t>未完成</t>
        </is>
      </c>
      <c r="E361" s="42" t="n"/>
      <c r="F361" s="42" t="n"/>
      <c r="G361" s="42" t="n"/>
      <c r="H361" s="42" t="n"/>
      <c r="I361" s="44" t="n"/>
      <c r="J361" s="41" t="n"/>
    </row>
    <row r="362">
      <c r="A362" s="41" t="n"/>
      <c r="B362" s="42" t="n"/>
      <c r="C362" s="43" t="n"/>
      <c r="D362" s="42" t="inlineStr">
        <is>
          <t>未完成</t>
        </is>
      </c>
      <c r="E362" s="42" t="n"/>
      <c r="F362" s="42" t="n"/>
      <c r="G362" s="42" t="n"/>
      <c r="H362" s="42" t="n"/>
      <c r="I362" s="44" t="n"/>
      <c r="J362" s="41" t="n"/>
    </row>
    <row r="363">
      <c r="A363" s="41" t="n"/>
      <c r="B363" s="42" t="n"/>
      <c r="C363" s="43" t="n"/>
      <c r="D363" s="42" t="inlineStr">
        <is>
          <t>未完成</t>
        </is>
      </c>
      <c r="E363" s="42" t="n"/>
      <c r="F363" s="42" t="n"/>
      <c r="G363" s="42" t="n"/>
      <c r="H363" s="42" t="n"/>
      <c r="I363" s="44" t="n"/>
      <c r="J363" s="41" t="n"/>
    </row>
    <row r="364">
      <c r="A364" s="41" t="n"/>
      <c r="B364" s="42" t="n"/>
      <c r="C364" s="43" t="n"/>
      <c r="D364" s="42" t="inlineStr">
        <is>
          <t>未完成</t>
        </is>
      </c>
      <c r="E364" s="42" t="n"/>
      <c r="F364" s="42" t="n"/>
      <c r="G364" s="42" t="n"/>
      <c r="H364" s="42" t="n"/>
      <c r="I364" s="44" t="n"/>
      <c r="J364" s="41" t="n"/>
    </row>
    <row r="365">
      <c r="A365" s="41" t="n"/>
      <c r="B365" s="42" t="n"/>
      <c r="C365" s="43" t="n"/>
      <c r="D365" s="42" t="inlineStr">
        <is>
          <t>未完成</t>
        </is>
      </c>
      <c r="E365" s="42" t="n"/>
      <c r="F365" s="42" t="n"/>
      <c r="G365" s="42" t="n"/>
      <c r="H365" s="42" t="n"/>
      <c r="I365" s="44" t="n"/>
      <c r="J365" s="41" t="n"/>
    </row>
    <row r="366">
      <c r="A366" s="41" t="n"/>
      <c r="B366" s="42" t="n"/>
      <c r="C366" s="43" t="n"/>
      <c r="D366" s="42" t="inlineStr">
        <is>
          <t>未完成</t>
        </is>
      </c>
      <c r="E366" s="42" t="n"/>
      <c r="F366" s="42" t="n"/>
      <c r="G366" s="42" t="n"/>
      <c r="H366" s="42" t="n"/>
      <c r="I366" s="44" t="n"/>
      <c r="J366" s="41" t="n"/>
    </row>
    <row r="367">
      <c r="A367" s="41" t="n"/>
      <c r="B367" s="42" t="n"/>
      <c r="C367" s="43" t="n"/>
      <c r="D367" s="42" t="inlineStr">
        <is>
          <t>未完成</t>
        </is>
      </c>
      <c r="E367" s="42" t="n"/>
      <c r="F367" s="42" t="n"/>
      <c r="G367" s="42" t="n"/>
      <c r="H367" s="42" t="n"/>
      <c r="I367" s="44" t="n"/>
      <c r="J367" s="41" t="n"/>
    </row>
    <row r="368">
      <c r="A368" s="41" t="n"/>
      <c r="B368" s="42" t="n"/>
      <c r="C368" s="43" t="n"/>
      <c r="D368" s="42" t="inlineStr">
        <is>
          <t>未完成</t>
        </is>
      </c>
      <c r="E368" s="42" t="n"/>
      <c r="F368" s="42" t="n"/>
      <c r="G368" s="42" t="n"/>
      <c r="H368" s="42" t="n"/>
      <c r="I368" s="44" t="n"/>
      <c r="J368" s="41" t="n"/>
    </row>
    <row r="369">
      <c r="A369" s="41" t="n"/>
      <c r="B369" s="42" t="n"/>
      <c r="C369" s="43" t="n"/>
      <c r="D369" s="42" t="inlineStr">
        <is>
          <t>未完成</t>
        </is>
      </c>
      <c r="E369" s="42" t="n"/>
      <c r="F369" s="42" t="n"/>
      <c r="G369" s="42" t="n"/>
      <c r="H369" s="42" t="n"/>
      <c r="I369" s="44" t="n"/>
      <c r="J369" s="41" t="n"/>
    </row>
    <row r="370">
      <c r="A370" s="41" t="n"/>
      <c r="B370" s="42" t="n"/>
      <c r="C370" s="43" t="n"/>
      <c r="D370" s="42" t="inlineStr">
        <is>
          <t>未完成</t>
        </is>
      </c>
      <c r="E370" s="42" t="n"/>
      <c r="F370" s="42" t="n"/>
      <c r="G370" s="42" t="n"/>
      <c r="H370" s="42" t="n"/>
      <c r="I370" s="44" t="n"/>
      <c r="J370" s="41" t="n"/>
    </row>
    <row r="371">
      <c r="A371" s="41" t="n"/>
      <c r="B371" s="42" t="n"/>
      <c r="C371" s="43" t="n"/>
      <c r="D371" s="42" t="inlineStr">
        <is>
          <t>未完成</t>
        </is>
      </c>
      <c r="E371" s="42" t="n"/>
      <c r="F371" s="42" t="n"/>
      <c r="G371" s="42" t="n"/>
      <c r="H371" s="42" t="n"/>
      <c r="I371" s="44" t="n"/>
      <c r="J371" s="41" t="n"/>
    </row>
    <row r="372">
      <c r="A372" s="41" t="n"/>
      <c r="B372" s="42" t="n"/>
      <c r="C372" s="43" t="n"/>
      <c r="D372" s="42" t="inlineStr">
        <is>
          <t>未完成</t>
        </is>
      </c>
      <c r="E372" s="42" t="n"/>
      <c r="F372" s="42" t="n"/>
      <c r="G372" s="42" t="n"/>
      <c r="H372" s="42" t="n"/>
      <c r="I372" s="44" t="n"/>
      <c r="J372" s="41" t="n"/>
    </row>
    <row r="373">
      <c r="A373" s="41" t="n"/>
      <c r="B373" s="42" t="n"/>
      <c r="C373" s="43" t="n"/>
      <c r="D373" s="42" t="inlineStr">
        <is>
          <t>未完成</t>
        </is>
      </c>
      <c r="E373" s="42" t="n"/>
      <c r="F373" s="42" t="n"/>
      <c r="G373" s="42" t="n"/>
      <c r="H373" s="42" t="n"/>
      <c r="I373" s="44" t="n"/>
      <c r="J373" s="41" t="n"/>
    </row>
    <row r="374">
      <c r="A374" s="41" t="n"/>
      <c r="B374" s="42" t="n"/>
      <c r="C374" s="43" t="n"/>
      <c r="D374" s="42" t="inlineStr">
        <is>
          <t>未完成</t>
        </is>
      </c>
      <c r="E374" s="42" t="n"/>
      <c r="F374" s="42" t="n"/>
      <c r="G374" s="42" t="n"/>
      <c r="H374" s="42" t="n"/>
      <c r="I374" s="44" t="n"/>
      <c r="J374" s="41" t="n"/>
    </row>
    <row r="375">
      <c r="A375" s="41" t="n"/>
      <c r="B375" s="42" t="n"/>
      <c r="C375" s="43" t="n"/>
      <c r="D375" s="42" t="inlineStr">
        <is>
          <t>未完成</t>
        </is>
      </c>
      <c r="E375" s="42" t="n"/>
      <c r="F375" s="42" t="n"/>
      <c r="G375" s="42" t="n"/>
      <c r="H375" s="42" t="n"/>
      <c r="I375" s="44" t="n"/>
      <c r="J375" s="41" t="n"/>
    </row>
    <row r="376">
      <c r="A376" s="41" t="n"/>
      <c r="B376" s="42" t="n"/>
      <c r="C376" s="43" t="n"/>
      <c r="D376" s="42" t="inlineStr">
        <is>
          <t>未完成</t>
        </is>
      </c>
      <c r="E376" s="42" t="n"/>
      <c r="F376" s="42" t="n"/>
      <c r="G376" s="42" t="n"/>
      <c r="H376" s="42" t="n"/>
      <c r="I376" s="44" t="n"/>
      <c r="J376" s="41" t="n"/>
    </row>
    <row r="377">
      <c r="A377" s="41" t="n"/>
      <c r="B377" s="42" t="n"/>
      <c r="C377" s="43" t="n"/>
      <c r="D377" s="42" t="inlineStr">
        <is>
          <t>未完成</t>
        </is>
      </c>
      <c r="E377" s="42" t="n"/>
      <c r="F377" s="42" t="n"/>
      <c r="G377" s="42" t="n"/>
      <c r="H377" s="42" t="n"/>
      <c r="I377" s="44" t="n"/>
      <c r="J377" s="41" t="n"/>
    </row>
    <row r="378">
      <c r="A378" s="41" t="n"/>
      <c r="B378" s="42" t="n"/>
      <c r="C378" s="43" t="n"/>
      <c r="D378" s="42" t="inlineStr">
        <is>
          <t>未完成</t>
        </is>
      </c>
      <c r="E378" s="42" t="n"/>
      <c r="F378" s="42" t="n"/>
      <c r="G378" s="42" t="n"/>
      <c r="H378" s="42" t="n"/>
      <c r="I378" s="44" t="n"/>
      <c r="J378" s="41" t="n"/>
    </row>
    <row r="379">
      <c r="A379" s="41" t="n"/>
      <c r="B379" s="42" t="n"/>
      <c r="C379" s="43" t="n"/>
      <c r="D379" s="42" t="inlineStr">
        <is>
          <t>未完成</t>
        </is>
      </c>
      <c r="E379" s="42" t="n"/>
      <c r="F379" s="42" t="n"/>
      <c r="G379" s="42" t="n"/>
      <c r="H379" s="42" t="n"/>
      <c r="I379" s="44" t="n"/>
      <c r="J379" s="41" t="n"/>
    </row>
    <row r="380">
      <c r="A380" s="41" t="n"/>
      <c r="B380" s="42" t="n"/>
      <c r="C380" s="43" t="n"/>
      <c r="D380" s="42" t="inlineStr">
        <is>
          <t>未完成</t>
        </is>
      </c>
      <c r="E380" s="42" t="n"/>
      <c r="F380" s="42" t="n"/>
      <c r="G380" s="42" t="n"/>
      <c r="H380" s="42" t="n"/>
      <c r="I380" s="44" t="n"/>
      <c r="J380" s="41" t="n"/>
    </row>
    <row r="381">
      <c r="A381" s="41" t="n"/>
      <c r="B381" s="42" t="n"/>
      <c r="C381" s="43" t="n"/>
      <c r="D381" s="42" t="inlineStr">
        <is>
          <t>未完成</t>
        </is>
      </c>
      <c r="E381" s="42" t="n"/>
      <c r="F381" s="42" t="n"/>
      <c r="G381" s="42" t="n"/>
      <c r="H381" s="42" t="n"/>
      <c r="I381" s="44" t="n"/>
      <c r="J381" s="41" t="n"/>
    </row>
    <row r="382">
      <c r="A382" s="41" t="n"/>
      <c r="B382" s="42" t="n"/>
      <c r="C382" s="43" t="n"/>
      <c r="D382" s="42" t="inlineStr">
        <is>
          <t>未完成</t>
        </is>
      </c>
      <c r="E382" s="42" t="n"/>
      <c r="F382" s="42" t="n"/>
      <c r="G382" s="42" t="n"/>
      <c r="H382" s="42" t="n"/>
      <c r="I382" s="44" t="n"/>
      <c r="J382" s="41" t="n"/>
    </row>
    <row r="383">
      <c r="A383" s="41" t="n"/>
      <c r="B383" s="42" t="n"/>
      <c r="C383" s="43" t="n"/>
      <c r="D383" s="42" t="inlineStr">
        <is>
          <t>未完成</t>
        </is>
      </c>
      <c r="E383" s="42" t="n"/>
      <c r="F383" s="42" t="n"/>
      <c r="G383" s="42" t="n"/>
      <c r="H383" s="42" t="n"/>
      <c r="I383" s="44" t="n"/>
      <c r="J383" s="41" t="n"/>
    </row>
    <row r="384">
      <c r="A384" s="41" t="n"/>
      <c r="B384" s="42" t="n"/>
      <c r="C384" s="43" t="n"/>
      <c r="D384" s="42" t="inlineStr">
        <is>
          <t>未完成</t>
        </is>
      </c>
      <c r="E384" s="42" t="n"/>
      <c r="F384" s="42" t="n"/>
      <c r="G384" s="42" t="n"/>
      <c r="H384" s="42" t="n"/>
      <c r="I384" s="44" t="n"/>
      <c r="J384" s="41" t="n"/>
    </row>
    <row r="385">
      <c r="A385" s="41" t="n"/>
      <c r="B385" s="42" t="n"/>
      <c r="C385" s="43" t="n"/>
      <c r="D385" s="42" t="inlineStr">
        <is>
          <t>未完成</t>
        </is>
      </c>
      <c r="E385" s="42" t="n"/>
      <c r="F385" s="42" t="n"/>
      <c r="G385" s="42" t="n"/>
      <c r="H385" s="42" t="n"/>
      <c r="I385" s="44" t="n"/>
      <c r="J385" s="41" t="n"/>
    </row>
    <row r="386">
      <c r="A386" s="41" t="n"/>
      <c r="B386" s="42" t="n"/>
      <c r="C386" s="43" t="n"/>
      <c r="D386" s="42" t="inlineStr">
        <is>
          <t>未完成</t>
        </is>
      </c>
      <c r="E386" s="42" t="n"/>
      <c r="F386" s="42" t="n"/>
      <c r="G386" s="42" t="n"/>
      <c r="H386" s="42" t="n"/>
      <c r="I386" s="44" t="n"/>
      <c r="J386" s="41" t="n"/>
    </row>
    <row r="387">
      <c r="A387" s="41" t="n"/>
      <c r="B387" s="42" t="n"/>
      <c r="C387" s="43" t="n"/>
      <c r="D387" s="42" t="inlineStr">
        <is>
          <t>未完成</t>
        </is>
      </c>
      <c r="E387" s="42" t="n"/>
      <c r="F387" s="42" t="n"/>
      <c r="G387" s="42" t="n"/>
      <c r="H387" s="42" t="n"/>
      <c r="I387" s="44" t="n"/>
      <c r="J387" s="41" t="n"/>
    </row>
    <row r="388">
      <c r="A388" s="41" t="n"/>
      <c r="B388" s="42" t="n"/>
      <c r="C388" s="43" t="n"/>
      <c r="D388" s="42" t="inlineStr">
        <is>
          <t>未完成</t>
        </is>
      </c>
      <c r="E388" s="42" t="n"/>
      <c r="F388" s="42" t="n"/>
      <c r="G388" s="42" t="n"/>
      <c r="H388" s="42" t="n"/>
      <c r="I388" s="44" t="n"/>
      <c r="J388" s="41" t="n"/>
    </row>
    <row r="389">
      <c r="A389" s="41" t="n"/>
      <c r="B389" s="42" t="n"/>
      <c r="C389" s="43" t="n"/>
      <c r="D389" s="42" t="inlineStr">
        <is>
          <t>未完成</t>
        </is>
      </c>
      <c r="E389" s="42" t="n"/>
      <c r="F389" s="42" t="n"/>
      <c r="G389" s="42" t="n"/>
      <c r="H389" s="42" t="n"/>
      <c r="I389" s="44" t="n"/>
      <c r="J389" s="41" t="n"/>
    </row>
    <row r="390">
      <c r="A390" s="41" t="n"/>
      <c r="B390" s="42" t="n"/>
      <c r="C390" s="43" t="n"/>
      <c r="D390" s="42" t="inlineStr">
        <is>
          <t>未完成</t>
        </is>
      </c>
      <c r="E390" s="42" t="n"/>
      <c r="F390" s="42" t="n"/>
      <c r="G390" s="42" t="n"/>
      <c r="H390" s="42" t="n"/>
      <c r="I390" s="44" t="n"/>
      <c r="J390" s="41" t="n"/>
    </row>
    <row r="391">
      <c r="A391" s="41" t="n"/>
      <c r="B391" s="42" t="n"/>
      <c r="C391" s="43" t="n"/>
      <c r="D391" s="42" t="inlineStr">
        <is>
          <t>未完成</t>
        </is>
      </c>
      <c r="E391" s="42" t="n"/>
      <c r="F391" s="42" t="n"/>
      <c r="G391" s="42" t="n"/>
      <c r="H391" s="42" t="n"/>
      <c r="I391" s="44" t="n"/>
      <c r="J391" s="41" t="n"/>
    </row>
    <row r="392">
      <c r="A392" s="41" t="n"/>
      <c r="B392" s="42" t="n"/>
      <c r="C392" s="43" t="n"/>
      <c r="D392" s="42" t="inlineStr">
        <is>
          <t>未完成</t>
        </is>
      </c>
      <c r="E392" s="42" t="n"/>
      <c r="F392" s="42" t="n"/>
      <c r="G392" s="42" t="n"/>
      <c r="H392" s="42" t="n"/>
      <c r="I392" s="44" t="n"/>
      <c r="J392" s="41" t="n"/>
    </row>
    <row r="393">
      <c r="A393" s="41" t="n"/>
      <c r="B393" s="42" t="n"/>
      <c r="C393" s="43" t="n"/>
      <c r="D393" s="42" t="inlineStr">
        <is>
          <t>未完成</t>
        </is>
      </c>
      <c r="E393" s="42" t="n"/>
      <c r="F393" s="42" t="n"/>
      <c r="G393" s="42" t="n"/>
      <c r="H393" s="42" t="n"/>
      <c r="I393" s="44" t="n"/>
      <c r="J393" s="41" t="n"/>
    </row>
    <row r="394">
      <c r="A394" s="41" t="n"/>
      <c r="B394" s="42" t="n"/>
      <c r="C394" s="43" t="n"/>
      <c r="D394" s="42" t="inlineStr">
        <is>
          <t>未完成</t>
        </is>
      </c>
      <c r="E394" s="42" t="n"/>
      <c r="F394" s="42" t="n"/>
      <c r="G394" s="42" t="n"/>
      <c r="H394" s="42" t="n"/>
      <c r="I394" s="44" t="n"/>
      <c r="J394" s="41" t="n"/>
    </row>
    <row r="395">
      <c r="A395" s="41" t="n"/>
      <c r="B395" s="42" t="n"/>
      <c r="C395" s="43" t="n"/>
      <c r="D395" s="42" t="inlineStr">
        <is>
          <t>未完成</t>
        </is>
      </c>
      <c r="E395" s="42" t="n"/>
      <c r="F395" s="42" t="n"/>
      <c r="G395" s="42" t="n"/>
      <c r="H395" s="42" t="n"/>
      <c r="I395" s="44" t="n"/>
      <c r="J395" s="41" t="n"/>
    </row>
    <row r="396">
      <c r="A396" s="41" t="n"/>
      <c r="B396" s="42" t="n"/>
      <c r="C396" s="43" t="n"/>
      <c r="D396" s="42" t="inlineStr">
        <is>
          <t>未完成</t>
        </is>
      </c>
      <c r="E396" s="42" t="n"/>
      <c r="F396" s="42" t="n"/>
      <c r="G396" s="42" t="n"/>
      <c r="H396" s="42" t="n"/>
      <c r="I396" s="44" t="n"/>
      <c r="J396" s="41" t="n"/>
    </row>
    <row r="397">
      <c r="A397" s="41" t="n"/>
      <c r="B397" s="42" t="n"/>
      <c r="C397" s="43" t="n"/>
      <c r="D397" s="42" t="inlineStr">
        <is>
          <t>未完成</t>
        </is>
      </c>
      <c r="E397" s="42" t="n"/>
      <c r="F397" s="42" t="n"/>
      <c r="G397" s="42" t="n"/>
      <c r="H397" s="42" t="n"/>
      <c r="I397" s="44" t="n"/>
      <c r="J397" s="41" t="n"/>
    </row>
    <row r="398">
      <c r="A398" s="41" t="n"/>
      <c r="B398" s="42" t="n"/>
      <c r="C398" s="43" t="n"/>
      <c r="D398" s="42" t="inlineStr">
        <is>
          <t>未完成</t>
        </is>
      </c>
      <c r="E398" s="42" t="n"/>
      <c r="F398" s="42" t="n"/>
      <c r="G398" s="42" t="n"/>
      <c r="H398" s="42" t="n"/>
      <c r="I398" s="44" t="n"/>
      <c r="J398" s="41" t="n"/>
    </row>
    <row r="399">
      <c r="A399" s="41" t="n"/>
      <c r="B399" s="42" t="n"/>
      <c r="C399" s="43" t="n"/>
      <c r="D399" s="42" t="inlineStr">
        <is>
          <t>未完成</t>
        </is>
      </c>
      <c r="E399" s="42" t="n"/>
      <c r="F399" s="42" t="n"/>
      <c r="G399" s="42" t="n"/>
      <c r="H399" s="42" t="n"/>
      <c r="I399" s="44" t="n"/>
      <c r="J399" s="41" t="n"/>
    </row>
    <row r="400">
      <c r="A400" s="41" t="n"/>
      <c r="B400" s="42" t="n"/>
      <c r="C400" s="43" t="n"/>
      <c r="D400" s="42" t="inlineStr">
        <is>
          <t>未完成</t>
        </is>
      </c>
      <c r="E400" s="42" t="n"/>
      <c r="F400" s="42" t="n"/>
      <c r="G400" s="42" t="n"/>
      <c r="H400" s="42" t="n"/>
      <c r="I400" s="44" t="n"/>
      <c r="J400" s="41" t="n"/>
    </row>
    <row r="401">
      <c r="A401" s="41" t="n"/>
      <c r="B401" s="42" t="n"/>
      <c r="C401" s="43" t="n"/>
      <c r="D401" s="42" t="inlineStr">
        <is>
          <t>未完成</t>
        </is>
      </c>
      <c r="E401" s="42" t="n"/>
      <c r="F401" s="42" t="n"/>
      <c r="G401" s="42" t="n"/>
      <c r="H401" s="42" t="n"/>
      <c r="I401" s="44" t="n"/>
      <c r="J401" s="41" t="n"/>
    </row>
    <row r="402">
      <c r="A402" s="41" t="n"/>
      <c r="B402" s="42" t="n"/>
      <c r="C402" s="43" t="n"/>
      <c r="D402" s="42" t="inlineStr">
        <is>
          <t>未完成</t>
        </is>
      </c>
      <c r="E402" s="42" t="n"/>
      <c r="F402" s="42" t="n"/>
      <c r="G402" s="42" t="n"/>
      <c r="H402" s="42" t="n"/>
      <c r="I402" s="44" t="n"/>
      <c r="J402" s="41" t="n"/>
    </row>
    <row r="403">
      <c r="A403" s="41" t="n"/>
      <c r="B403" s="42" t="n"/>
      <c r="C403" s="43" t="n"/>
      <c r="D403" s="42" t="inlineStr">
        <is>
          <t>未完成</t>
        </is>
      </c>
      <c r="E403" s="42" t="n"/>
      <c r="F403" s="42" t="n"/>
      <c r="G403" s="42" t="n"/>
      <c r="H403" s="42" t="n"/>
      <c r="I403" s="44" t="n"/>
      <c r="J403" s="41" t="n"/>
    </row>
    <row r="404">
      <c r="A404" s="41" t="n"/>
      <c r="B404" s="42" t="n"/>
      <c r="C404" s="43" t="n"/>
      <c r="D404" s="42" t="inlineStr">
        <is>
          <t>未完成</t>
        </is>
      </c>
      <c r="E404" s="42" t="n"/>
      <c r="F404" s="42" t="n"/>
      <c r="G404" s="42" t="n"/>
      <c r="H404" s="42" t="n"/>
      <c r="I404" s="44" t="n"/>
      <c r="J404" s="41" t="n"/>
    </row>
    <row r="405">
      <c r="A405" s="41" t="n"/>
      <c r="B405" s="42" t="n"/>
      <c r="C405" s="43" t="n"/>
      <c r="D405" s="42" t="inlineStr">
        <is>
          <t>未完成</t>
        </is>
      </c>
      <c r="E405" s="42" t="n"/>
      <c r="F405" s="42" t="n"/>
      <c r="G405" s="42" t="n"/>
      <c r="H405" s="42" t="n"/>
      <c r="I405" s="44" t="n"/>
      <c r="J405" s="41" t="n"/>
    </row>
    <row r="406">
      <c r="A406" s="41" t="n"/>
      <c r="B406" s="42" t="n"/>
      <c r="C406" s="43" t="n"/>
      <c r="D406" s="42" t="inlineStr">
        <is>
          <t>未完成</t>
        </is>
      </c>
      <c r="E406" s="42" t="n"/>
      <c r="F406" s="42" t="n"/>
      <c r="G406" s="42" t="n"/>
      <c r="H406" s="42" t="n"/>
      <c r="I406" s="44" t="n"/>
      <c r="J406" s="41" t="n"/>
    </row>
    <row r="407">
      <c r="A407" s="41" t="n"/>
      <c r="B407" s="42" t="n"/>
      <c r="C407" s="43" t="n"/>
      <c r="D407" s="42" t="inlineStr">
        <is>
          <t>未完成</t>
        </is>
      </c>
      <c r="E407" s="42" t="n"/>
      <c r="F407" s="42" t="n"/>
      <c r="G407" s="42" t="n"/>
      <c r="H407" s="42" t="n"/>
      <c r="I407" s="44" t="n"/>
      <c r="J407" s="41" t="n"/>
    </row>
    <row r="408">
      <c r="A408" s="41" t="n"/>
      <c r="B408" s="42" t="n"/>
      <c r="C408" s="43" t="n"/>
      <c r="D408" s="42" t="inlineStr">
        <is>
          <t>未完成</t>
        </is>
      </c>
      <c r="E408" s="42" t="n"/>
      <c r="F408" s="42" t="n"/>
      <c r="G408" s="42" t="n"/>
      <c r="H408" s="42" t="n"/>
      <c r="I408" s="44" t="n"/>
      <c r="J408" s="41" t="n"/>
    </row>
    <row r="409">
      <c r="A409" s="41" t="n"/>
      <c r="B409" s="42" t="n"/>
      <c r="C409" s="43" t="n"/>
      <c r="D409" s="42" t="inlineStr">
        <is>
          <t>未完成</t>
        </is>
      </c>
      <c r="E409" s="42" t="n"/>
      <c r="F409" s="42" t="n"/>
      <c r="G409" s="42" t="n"/>
      <c r="H409" s="42" t="n"/>
      <c r="I409" s="44" t="n"/>
      <c r="J409" s="41" t="n"/>
    </row>
    <row r="410">
      <c r="A410" s="41" t="n"/>
      <c r="B410" s="42" t="n"/>
      <c r="C410" s="43" t="n"/>
      <c r="D410" s="42" t="inlineStr">
        <is>
          <t>未完成</t>
        </is>
      </c>
      <c r="E410" s="42" t="n"/>
      <c r="F410" s="42" t="n"/>
      <c r="G410" s="42" t="n"/>
      <c r="H410" s="42" t="n"/>
      <c r="I410" s="44" t="n"/>
      <c r="J410" s="41" t="n"/>
    </row>
    <row r="411">
      <c r="A411" s="41" t="n"/>
      <c r="B411" s="42" t="n"/>
      <c r="C411" s="43" t="n"/>
      <c r="D411" s="42" t="inlineStr">
        <is>
          <t>未完成</t>
        </is>
      </c>
      <c r="E411" s="42" t="n"/>
      <c r="F411" s="42" t="n"/>
      <c r="G411" s="42" t="n"/>
      <c r="H411" s="42" t="n"/>
      <c r="I411" s="44" t="n"/>
      <c r="J411" s="41" t="n"/>
    </row>
    <row r="412">
      <c r="A412" s="41" t="n"/>
      <c r="B412" s="42" t="n"/>
      <c r="C412" s="43" t="n"/>
      <c r="D412" s="42" t="inlineStr">
        <is>
          <t>未完成</t>
        </is>
      </c>
      <c r="E412" s="42" t="n"/>
      <c r="F412" s="42" t="n"/>
      <c r="G412" s="42" t="n"/>
      <c r="H412" s="42" t="n"/>
      <c r="I412" s="44" t="n"/>
      <c r="J412" s="41" t="n"/>
    </row>
    <row r="413">
      <c r="A413" s="41" t="n"/>
      <c r="B413" s="42" t="n"/>
      <c r="C413" s="43" t="n"/>
      <c r="D413" s="42" t="inlineStr">
        <is>
          <t>未完成</t>
        </is>
      </c>
      <c r="E413" s="42" t="n"/>
      <c r="F413" s="42" t="n"/>
      <c r="G413" s="42" t="n"/>
      <c r="H413" s="42" t="n"/>
      <c r="I413" s="44" t="n"/>
      <c r="J413" s="41" t="n"/>
    </row>
    <row r="414">
      <c r="A414" s="41" t="n"/>
      <c r="B414" s="42" t="n"/>
      <c r="C414" s="43" t="n"/>
      <c r="D414" s="42" t="inlineStr">
        <is>
          <t>未完成</t>
        </is>
      </c>
      <c r="E414" s="42" t="n"/>
      <c r="F414" s="42" t="n"/>
      <c r="G414" s="42" t="n"/>
      <c r="H414" s="42" t="n"/>
      <c r="I414" s="44" t="n"/>
      <c r="J414" s="41" t="n"/>
    </row>
    <row r="415">
      <c r="A415" s="41" t="n"/>
      <c r="B415" s="42" t="n"/>
      <c r="C415" s="43" t="n"/>
      <c r="D415" s="42" t="inlineStr">
        <is>
          <t>未完成</t>
        </is>
      </c>
      <c r="E415" s="42" t="n"/>
      <c r="F415" s="42" t="n"/>
      <c r="G415" s="42" t="n"/>
      <c r="H415" s="42" t="n"/>
      <c r="I415" s="44" t="n"/>
      <c r="J415" s="41" t="n"/>
    </row>
    <row r="416">
      <c r="A416" s="41" t="n"/>
      <c r="B416" s="42" t="n"/>
      <c r="C416" s="43" t="n"/>
      <c r="D416" s="42" t="inlineStr">
        <is>
          <t>未完成</t>
        </is>
      </c>
      <c r="E416" s="42" t="n"/>
      <c r="F416" s="42" t="n"/>
      <c r="G416" s="42" t="n"/>
      <c r="H416" s="42" t="n"/>
      <c r="I416" s="44" t="n"/>
      <c r="J416" s="41" t="n"/>
    </row>
    <row r="417">
      <c r="A417" s="41" t="n"/>
      <c r="B417" s="42" t="n"/>
      <c r="C417" s="43" t="n"/>
      <c r="D417" s="42" t="inlineStr">
        <is>
          <t>未完成</t>
        </is>
      </c>
      <c r="E417" s="42" t="n"/>
      <c r="F417" s="42" t="n"/>
      <c r="G417" s="42" t="n"/>
      <c r="H417" s="42" t="n"/>
      <c r="I417" s="44" t="n"/>
      <c r="J417" s="41" t="n"/>
    </row>
    <row r="418">
      <c r="A418" s="41" t="n"/>
      <c r="B418" s="42" t="n"/>
      <c r="C418" s="43" t="n"/>
      <c r="D418" s="42" t="inlineStr">
        <is>
          <t>未完成</t>
        </is>
      </c>
      <c r="E418" s="42" t="n"/>
      <c r="F418" s="42" t="n"/>
      <c r="G418" s="42" t="n"/>
      <c r="H418" s="42" t="n"/>
      <c r="I418" s="44" t="n"/>
      <c r="J418" s="41" t="n"/>
    </row>
    <row r="419">
      <c r="A419" s="41" t="n"/>
      <c r="B419" s="42" t="n"/>
      <c r="C419" s="43" t="n"/>
      <c r="D419" s="42" t="inlineStr">
        <is>
          <t>未完成</t>
        </is>
      </c>
      <c r="E419" s="42" t="n"/>
      <c r="F419" s="42" t="n"/>
      <c r="G419" s="42" t="n"/>
      <c r="H419" s="42" t="n"/>
      <c r="I419" s="44" t="n"/>
      <c r="J419" s="41" t="n"/>
    </row>
    <row r="420">
      <c r="A420" s="41" t="n"/>
      <c r="B420" s="42" t="n"/>
      <c r="C420" s="43" t="n"/>
      <c r="D420" s="42" t="inlineStr">
        <is>
          <t>未完成</t>
        </is>
      </c>
      <c r="E420" s="42" t="n"/>
      <c r="F420" s="42" t="n"/>
      <c r="G420" s="42" t="n"/>
      <c r="H420" s="42" t="n"/>
      <c r="I420" s="44" t="n"/>
      <c r="J420" s="41" t="n"/>
    </row>
    <row r="421">
      <c r="A421" s="41" t="n"/>
      <c r="B421" s="42" t="n"/>
      <c r="C421" s="43" t="n"/>
      <c r="D421" s="42" t="inlineStr">
        <is>
          <t>未完成</t>
        </is>
      </c>
      <c r="E421" s="42" t="n"/>
      <c r="F421" s="42" t="n"/>
      <c r="G421" s="42" t="n"/>
      <c r="H421" s="42" t="n"/>
      <c r="I421" s="44" t="n"/>
      <c r="J421" s="41" t="n"/>
    </row>
    <row r="422">
      <c r="A422" s="41" t="n"/>
      <c r="B422" s="42" t="n"/>
      <c r="C422" s="43" t="n"/>
      <c r="D422" s="42" t="inlineStr">
        <is>
          <t>未完成</t>
        </is>
      </c>
      <c r="E422" s="42" t="n"/>
      <c r="F422" s="42" t="n"/>
      <c r="G422" s="42" t="n"/>
      <c r="H422" s="42" t="n"/>
      <c r="I422" s="44" t="n"/>
      <c r="J422" s="41" t="n"/>
    </row>
    <row r="423">
      <c r="A423" s="41" t="n"/>
      <c r="B423" s="42" t="n"/>
      <c r="C423" s="43" t="n"/>
      <c r="D423" s="42" t="inlineStr">
        <is>
          <t>未完成</t>
        </is>
      </c>
      <c r="E423" s="42" t="n"/>
      <c r="F423" s="42" t="n"/>
      <c r="G423" s="42" t="n"/>
      <c r="H423" s="42" t="n"/>
      <c r="I423" s="44" t="n"/>
      <c r="J423" s="41" t="n"/>
    </row>
    <row r="424">
      <c r="A424" s="41" t="n"/>
      <c r="B424" s="42" t="n"/>
      <c r="C424" s="43" t="n"/>
      <c r="D424" s="42" t="inlineStr">
        <is>
          <t>未完成</t>
        </is>
      </c>
      <c r="E424" s="42" t="n"/>
      <c r="F424" s="42" t="n"/>
      <c r="G424" s="42" t="n"/>
      <c r="H424" s="42" t="n"/>
      <c r="I424" s="44" t="n"/>
      <c r="J424" s="41" t="n"/>
    </row>
    <row r="425">
      <c r="A425" s="41" t="n"/>
      <c r="B425" s="42" t="n"/>
      <c r="C425" s="43" t="n"/>
      <c r="D425" s="42" t="inlineStr">
        <is>
          <t>未完成</t>
        </is>
      </c>
      <c r="E425" s="42" t="n"/>
      <c r="F425" s="42" t="n"/>
      <c r="G425" s="42" t="n"/>
      <c r="H425" s="42" t="n"/>
      <c r="I425" s="44" t="n"/>
      <c r="J425" s="41" t="n"/>
    </row>
    <row r="426">
      <c r="A426" s="41" t="n"/>
      <c r="B426" s="42" t="n"/>
      <c r="C426" s="43" t="n"/>
      <c r="D426" s="42" t="inlineStr">
        <is>
          <t>未完成</t>
        </is>
      </c>
      <c r="E426" s="42" t="n"/>
      <c r="F426" s="42" t="n"/>
      <c r="G426" s="42" t="n"/>
      <c r="H426" s="42" t="n"/>
      <c r="I426" s="44" t="n"/>
      <c r="J426" s="41" t="n"/>
    </row>
    <row r="427">
      <c r="A427" s="41" t="n"/>
      <c r="B427" s="42" t="n"/>
      <c r="C427" s="43" t="n"/>
      <c r="D427" s="42" t="inlineStr">
        <is>
          <t>未完成</t>
        </is>
      </c>
      <c r="E427" s="42" t="n"/>
      <c r="F427" s="42" t="n"/>
      <c r="G427" s="42" t="n"/>
      <c r="H427" s="42" t="n"/>
      <c r="I427" s="44" t="n"/>
      <c r="J427" s="41" t="n"/>
    </row>
    <row r="428">
      <c r="A428" s="41" t="n"/>
      <c r="B428" s="42" t="n"/>
      <c r="C428" s="43" t="n"/>
      <c r="D428" s="42" t="inlineStr">
        <is>
          <t>未完成</t>
        </is>
      </c>
      <c r="E428" s="42" t="n"/>
      <c r="F428" s="42" t="n"/>
      <c r="G428" s="42" t="n"/>
      <c r="H428" s="42" t="n"/>
      <c r="I428" s="44" t="n"/>
      <c r="J428" s="41" t="n"/>
    </row>
    <row r="429">
      <c r="A429" s="41" t="n"/>
      <c r="B429" s="42" t="n"/>
      <c r="C429" s="43" t="n"/>
      <c r="D429" s="42" t="inlineStr">
        <is>
          <t>未完成</t>
        </is>
      </c>
      <c r="E429" s="42" t="n"/>
      <c r="F429" s="42" t="n"/>
      <c r="G429" s="42" t="n"/>
      <c r="H429" s="42" t="n"/>
      <c r="I429" s="44" t="n"/>
      <c r="J429" s="41" t="n"/>
    </row>
    <row r="430">
      <c r="A430" s="41" t="n"/>
      <c r="B430" s="42" t="n"/>
      <c r="C430" s="43" t="n"/>
      <c r="D430" s="42" t="inlineStr">
        <is>
          <t>未完成</t>
        </is>
      </c>
      <c r="E430" s="42" t="n"/>
      <c r="F430" s="42" t="n"/>
      <c r="G430" s="42" t="n"/>
      <c r="H430" s="42" t="n"/>
      <c r="I430" s="44" t="n"/>
      <c r="J430" s="41" t="n"/>
    </row>
    <row r="431">
      <c r="A431" s="41" t="n"/>
      <c r="B431" s="42" t="n"/>
      <c r="C431" s="43" t="n"/>
      <c r="D431" s="42" t="inlineStr">
        <is>
          <t>未完成</t>
        </is>
      </c>
      <c r="E431" s="42" t="n"/>
      <c r="F431" s="42" t="n"/>
      <c r="G431" s="42" t="n"/>
      <c r="H431" s="42" t="n"/>
      <c r="I431" s="44" t="n"/>
      <c r="J431" s="41" t="n"/>
    </row>
    <row r="432">
      <c r="A432" s="41" t="n"/>
      <c r="B432" s="42" t="n"/>
      <c r="C432" s="43" t="n"/>
      <c r="D432" s="42" t="inlineStr">
        <is>
          <t>未完成</t>
        </is>
      </c>
      <c r="E432" s="42" t="n"/>
      <c r="F432" s="42" t="n"/>
      <c r="G432" s="42" t="n"/>
      <c r="H432" s="42" t="n"/>
      <c r="I432" s="44" t="n"/>
      <c r="J432" s="41" t="n"/>
    </row>
    <row r="433">
      <c r="A433" s="41" t="n"/>
      <c r="B433" s="42" t="n"/>
      <c r="C433" s="43" t="n"/>
      <c r="D433" s="42" t="inlineStr">
        <is>
          <t>未完成</t>
        </is>
      </c>
      <c r="E433" s="42" t="n"/>
      <c r="F433" s="42" t="n"/>
      <c r="G433" s="42" t="n"/>
      <c r="H433" s="42" t="n"/>
      <c r="I433" s="44" t="n"/>
      <c r="J433" s="41" t="n"/>
    </row>
    <row r="434">
      <c r="A434" s="41" t="n"/>
      <c r="B434" s="42" t="n"/>
      <c r="C434" s="43" t="n"/>
      <c r="D434" s="42" t="inlineStr">
        <is>
          <t>未完成</t>
        </is>
      </c>
      <c r="E434" s="42" t="n"/>
      <c r="F434" s="42" t="n"/>
      <c r="G434" s="42" t="n"/>
      <c r="H434" s="42" t="n"/>
      <c r="I434" s="44" t="n"/>
      <c r="J434" s="41" t="n"/>
    </row>
    <row r="435">
      <c r="A435" s="41" t="n"/>
      <c r="B435" s="42" t="n"/>
      <c r="C435" s="43" t="n"/>
      <c r="D435" s="42" t="inlineStr">
        <is>
          <t>未完成</t>
        </is>
      </c>
      <c r="E435" s="42" t="n"/>
      <c r="F435" s="42" t="n"/>
      <c r="G435" s="42" t="n"/>
      <c r="H435" s="42" t="n"/>
      <c r="I435" s="44" t="n"/>
      <c r="J435" s="41" t="n"/>
    </row>
    <row r="436">
      <c r="A436" s="41" t="n"/>
      <c r="B436" s="42" t="n"/>
      <c r="C436" s="43" t="n"/>
      <c r="D436" s="42" t="inlineStr">
        <is>
          <t>未完成</t>
        </is>
      </c>
      <c r="E436" s="42" t="n"/>
      <c r="F436" s="42" t="n"/>
      <c r="G436" s="42" t="n"/>
      <c r="H436" s="42" t="n"/>
      <c r="I436" s="44" t="n"/>
      <c r="J436" s="41" t="n"/>
    </row>
    <row r="437">
      <c r="A437" s="41" t="n"/>
      <c r="B437" s="42" t="n"/>
      <c r="C437" s="43" t="n"/>
      <c r="D437" s="42" t="inlineStr">
        <is>
          <t>未完成</t>
        </is>
      </c>
      <c r="E437" s="42" t="n"/>
      <c r="F437" s="42" t="n"/>
      <c r="G437" s="42" t="n"/>
      <c r="H437" s="42" t="n"/>
      <c r="I437" s="44" t="n"/>
      <c r="J437" s="41" t="n"/>
    </row>
    <row r="438">
      <c r="A438" s="41" t="n"/>
      <c r="B438" s="42" t="n"/>
      <c r="C438" s="43" t="n"/>
      <c r="D438" s="42" t="inlineStr">
        <is>
          <t>未完成</t>
        </is>
      </c>
      <c r="E438" s="42" t="n"/>
      <c r="F438" s="42" t="n"/>
      <c r="G438" s="42" t="n"/>
      <c r="H438" s="42" t="n"/>
      <c r="I438" s="44" t="n"/>
      <c r="J438" s="41" t="n"/>
    </row>
    <row r="439">
      <c r="A439" s="41" t="n"/>
      <c r="B439" s="42" t="n"/>
      <c r="C439" s="43" t="n"/>
      <c r="D439" s="42" t="inlineStr">
        <is>
          <t>未完成</t>
        </is>
      </c>
      <c r="E439" s="42" t="n"/>
      <c r="F439" s="42" t="n"/>
      <c r="G439" s="42" t="n"/>
      <c r="H439" s="42" t="n"/>
      <c r="I439" s="44" t="n"/>
      <c r="J439" s="41" t="n"/>
    </row>
    <row r="440">
      <c r="A440" s="41" t="n"/>
      <c r="B440" s="42" t="n"/>
      <c r="C440" s="43" t="n"/>
      <c r="D440" s="42" t="inlineStr">
        <is>
          <t>未完成</t>
        </is>
      </c>
      <c r="E440" s="42" t="n"/>
      <c r="F440" s="42" t="n"/>
      <c r="G440" s="42" t="n"/>
      <c r="H440" s="42" t="n"/>
      <c r="I440" s="44" t="n"/>
      <c r="J440" s="41" t="n"/>
    </row>
    <row r="441">
      <c r="A441" s="41" t="n"/>
      <c r="B441" s="42" t="n"/>
      <c r="C441" s="43" t="n"/>
      <c r="D441" s="42" t="inlineStr">
        <is>
          <t>未完成</t>
        </is>
      </c>
      <c r="E441" s="42" t="n"/>
      <c r="F441" s="42" t="n"/>
      <c r="G441" s="42" t="n"/>
      <c r="H441" s="42" t="n"/>
      <c r="I441" s="44" t="n"/>
      <c r="J441" s="41" t="n"/>
    </row>
    <row r="442">
      <c r="A442" s="41" t="n"/>
      <c r="B442" s="42" t="n"/>
      <c r="C442" s="43" t="n"/>
      <c r="D442" s="42" t="inlineStr">
        <is>
          <t>未完成</t>
        </is>
      </c>
      <c r="E442" s="42" t="n"/>
      <c r="F442" s="42" t="n"/>
      <c r="G442" s="42" t="n"/>
      <c r="H442" s="42" t="n"/>
      <c r="I442" s="44" t="n"/>
      <c r="J442" s="41" t="n"/>
    </row>
    <row r="443">
      <c r="A443" s="41" t="n"/>
      <c r="B443" s="42" t="n"/>
      <c r="C443" s="43" t="n"/>
      <c r="D443" s="42" t="inlineStr">
        <is>
          <t>未完成</t>
        </is>
      </c>
      <c r="E443" s="42" t="n"/>
      <c r="F443" s="42" t="n"/>
      <c r="G443" s="42" t="n"/>
      <c r="H443" s="42" t="n"/>
      <c r="I443" s="44" t="n"/>
      <c r="J443" s="41" t="n"/>
    </row>
    <row r="444">
      <c r="A444" s="41" t="n"/>
      <c r="B444" s="42" t="n"/>
      <c r="C444" s="43" t="n"/>
      <c r="D444" s="42" t="inlineStr">
        <is>
          <t>未完成</t>
        </is>
      </c>
      <c r="E444" s="42" t="n"/>
      <c r="F444" s="42" t="n"/>
      <c r="G444" s="42" t="n"/>
      <c r="H444" s="42" t="n"/>
      <c r="I444" s="44" t="n"/>
      <c r="J444" s="41" t="n"/>
    </row>
    <row r="445">
      <c r="A445" s="41" t="n"/>
      <c r="B445" s="42" t="n"/>
      <c r="C445" s="43" t="n"/>
      <c r="D445" s="42" t="inlineStr">
        <is>
          <t>未完成</t>
        </is>
      </c>
      <c r="E445" s="42" t="n"/>
      <c r="F445" s="42" t="n"/>
      <c r="G445" s="42" t="n"/>
      <c r="H445" s="42" t="n"/>
      <c r="I445" s="44" t="n"/>
      <c r="J445" s="41" t="n"/>
    </row>
    <row r="446">
      <c r="A446" s="41" t="n"/>
      <c r="B446" s="42" t="n"/>
      <c r="C446" s="43" t="n"/>
      <c r="D446" s="42" t="inlineStr">
        <is>
          <t>未完成</t>
        </is>
      </c>
      <c r="E446" s="42" t="n"/>
      <c r="F446" s="42" t="n"/>
      <c r="G446" s="42" t="n"/>
      <c r="H446" s="42" t="n"/>
      <c r="I446" s="44" t="n"/>
      <c r="J446" s="41" t="n"/>
    </row>
    <row r="447">
      <c r="A447" s="41" t="n"/>
      <c r="B447" s="42" t="n"/>
      <c r="C447" s="43" t="n"/>
      <c r="D447" s="42" t="inlineStr">
        <is>
          <t>未完成</t>
        </is>
      </c>
      <c r="E447" s="42" t="n"/>
      <c r="F447" s="42" t="n"/>
      <c r="G447" s="42" t="n"/>
      <c r="H447" s="42" t="n"/>
      <c r="I447" s="44" t="n"/>
      <c r="J447" s="41" t="n"/>
    </row>
    <row r="448">
      <c r="A448" s="41" t="n"/>
      <c r="B448" s="42" t="n"/>
      <c r="C448" s="43" t="n"/>
      <c r="D448" s="42" t="inlineStr">
        <is>
          <t>未完成</t>
        </is>
      </c>
      <c r="E448" s="42" t="n"/>
      <c r="F448" s="42" t="n"/>
      <c r="G448" s="42" t="n"/>
      <c r="H448" s="42" t="n"/>
      <c r="I448" s="44" t="n"/>
      <c r="J448" s="41" t="n"/>
    </row>
    <row r="449">
      <c r="A449" s="41" t="n"/>
      <c r="B449" s="42" t="n"/>
      <c r="C449" s="43" t="n"/>
      <c r="D449" s="42" t="inlineStr">
        <is>
          <t>未完成</t>
        </is>
      </c>
      <c r="E449" s="42" t="n"/>
      <c r="F449" s="42" t="n"/>
      <c r="G449" s="42" t="n"/>
      <c r="H449" s="42" t="n"/>
      <c r="I449" s="44" t="n"/>
      <c r="J449" s="41" t="n"/>
    </row>
    <row r="450">
      <c r="A450" s="41" t="n"/>
      <c r="B450" s="42" t="n"/>
      <c r="C450" s="43" t="n"/>
      <c r="D450" s="42" t="inlineStr">
        <is>
          <t>未完成</t>
        </is>
      </c>
      <c r="E450" s="42" t="n"/>
      <c r="F450" s="42" t="n"/>
      <c r="G450" s="42" t="n"/>
      <c r="H450" s="42" t="n"/>
      <c r="I450" s="44" t="n"/>
      <c r="J450" s="41" t="n"/>
    </row>
    <row r="451">
      <c r="A451" s="41" t="n"/>
      <c r="B451" s="42" t="n"/>
      <c r="C451" s="43" t="n"/>
      <c r="D451" s="42" t="inlineStr">
        <is>
          <t>未完成</t>
        </is>
      </c>
      <c r="E451" s="42" t="n"/>
      <c r="F451" s="42" t="n"/>
      <c r="G451" s="42" t="n"/>
      <c r="H451" s="42" t="n"/>
      <c r="I451" s="44" t="n"/>
      <c r="J451" s="41" t="n"/>
    </row>
    <row r="452">
      <c r="A452" s="41" t="n"/>
      <c r="B452" s="42" t="n"/>
      <c r="C452" s="43" t="n"/>
      <c r="D452" s="42" t="inlineStr">
        <is>
          <t>未完成</t>
        </is>
      </c>
      <c r="E452" s="42" t="n"/>
      <c r="F452" s="42" t="n"/>
      <c r="G452" s="42" t="n"/>
      <c r="H452" s="42" t="n"/>
      <c r="I452" s="44" t="n"/>
      <c r="J452" s="41" t="n"/>
    </row>
    <row r="453">
      <c r="A453" s="41" t="n"/>
      <c r="B453" s="42" t="n"/>
      <c r="C453" s="43" t="n"/>
      <c r="D453" s="42" t="inlineStr">
        <is>
          <t>未完成</t>
        </is>
      </c>
      <c r="E453" s="42" t="n"/>
      <c r="F453" s="42" t="n"/>
      <c r="G453" s="42" t="n"/>
      <c r="H453" s="42" t="n"/>
      <c r="I453" s="44" t="n"/>
      <c r="J453" s="41" t="n"/>
    </row>
    <row r="454">
      <c r="A454" s="41" t="n"/>
      <c r="B454" s="42" t="n"/>
      <c r="C454" s="43" t="n"/>
      <c r="D454" s="42" t="inlineStr">
        <is>
          <t>未完成</t>
        </is>
      </c>
      <c r="E454" s="42" t="n"/>
      <c r="F454" s="42" t="n"/>
      <c r="G454" s="42" t="n"/>
      <c r="H454" s="42" t="n"/>
      <c r="I454" s="44" t="n"/>
      <c r="J454" s="41" t="n"/>
    </row>
    <row r="455">
      <c r="A455" s="41" t="n"/>
      <c r="B455" s="42" t="n"/>
      <c r="C455" s="43" t="n"/>
      <c r="D455" s="42" t="inlineStr">
        <is>
          <t>未完成</t>
        </is>
      </c>
      <c r="E455" s="42" t="n"/>
      <c r="F455" s="42" t="n"/>
      <c r="G455" s="42" t="n"/>
      <c r="H455" s="42" t="n"/>
      <c r="I455" s="44" t="n"/>
      <c r="J455" s="41" t="n"/>
    </row>
    <row r="456">
      <c r="A456" s="41" t="n"/>
      <c r="B456" s="42" t="n"/>
      <c r="C456" s="43" t="n"/>
      <c r="D456" s="42" t="inlineStr">
        <is>
          <t>未完成</t>
        </is>
      </c>
      <c r="E456" s="42" t="n"/>
      <c r="F456" s="42" t="n"/>
      <c r="G456" s="42" t="n"/>
      <c r="H456" s="42" t="n"/>
      <c r="I456" s="44" t="n"/>
      <c r="J456" s="41" t="n"/>
    </row>
    <row r="457">
      <c r="A457" s="41" t="n"/>
      <c r="B457" s="42" t="n"/>
      <c r="C457" s="43" t="n"/>
      <c r="D457" s="42" t="inlineStr">
        <is>
          <t>未完成</t>
        </is>
      </c>
      <c r="E457" s="42" t="n"/>
      <c r="F457" s="42" t="n"/>
      <c r="G457" s="42" t="n"/>
      <c r="H457" s="42" t="n"/>
      <c r="I457" s="44" t="n"/>
      <c r="J457" s="41" t="n"/>
    </row>
    <row r="458">
      <c r="A458" s="41" t="n"/>
      <c r="B458" s="42" t="n"/>
      <c r="C458" s="43" t="n"/>
      <c r="D458" s="42" t="inlineStr">
        <is>
          <t>未完成</t>
        </is>
      </c>
      <c r="E458" s="42" t="n"/>
      <c r="F458" s="42" t="n"/>
      <c r="G458" s="42" t="n"/>
      <c r="H458" s="42" t="n"/>
      <c r="I458" s="44" t="n"/>
      <c r="J458" s="41" t="n"/>
    </row>
    <row r="459">
      <c r="A459" s="41" t="n"/>
      <c r="B459" s="42" t="n"/>
      <c r="C459" s="43" t="n"/>
      <c r="D459" s="42" t="inlineStr">
        <is>
          <t>未完成</t>
        </is>
      </c>
      <c r="E459" s="42" t="n"/>
      <c r="F459" s="42" t="n"/>
      <c r="G459" s="42" t="n"/>
      <c r="H459" s="42" t="n"/>
      <c r="I459" s="44" t="n"/>
      <c r="J459" s="41" t="n"/>
    </row>
    <row r="460">
      <c r="A460" s="41" t="n"/>
      <c r="B460" s="42" t="n"/>
      <c r="C460" s="43" t="n"/>
      <c r="D460" s="42" t="inlineStr">
        <is>
          <t>未完成</t>
        </is>
      </c>
      <c r="E460" s="42" t="n"/>
      <c r="F460" s="42" t="n"/>
      <c r="G460" s="42" t="n"/>
      <c r="H460" s="42" t="n"/>
      <c r="I460" s="44" t="n"/>
      <c r="J460" s="41" t="n"/>
    </row>
    <row r="461">
      <c r="A461" s="41" t="n"/>
      <c r="B461" s="42" t="n"/>
      <c r="C461" s="43" t="n"/>
      <c r="D461" s="42" t="inlineStr">
        <is>
          <t>未完成</t>
        </is>
      </c>
      <c r="E461" s="42" t="n"/>
      <c r="F461" s="42" t="n"/>
      <c r="G461" s="42" t="n"/>
      <c r="H461" s="42" t="n"/>
      <c r="I461" s="44" t="n"/>
      <c r="J461" s="41" t="n"/>
    </row>
    <row r="462">
      <c r="A462" s="41" t="n"/>
      <c r="B462" s="42" t="n"/>
      <c r="C462" s="43" t="n"/>
      <c r="D462" s="42" t="inlineStr">
        <is>
          <t>未完成</t>
        </is>
      </c>
      <c r="E462" s="42" t="n"/>
      <c r="F462" s="42" t="n"/>
      <c r="G462" s="42" t="n"/>
      <c r="H462" s="42" t="n"/>
      <c r="I462" s="44" t="n"/>
      <c r="J462" s="41" t="n"/>
    </row>
    <row r="463">
      <c r="A463" s="41" t="n"/>
      <c r="B463" s="42" t="n"/>
      <c r="C463" s="43" t="n"/>
      <c r="D463" s="42" t="inlineStr">
        <is>
          <t>未完成</t>
        </is>
      </c>
      <c r="E463" s="42" t="n"/>
      <c r="F463" s="42" t="n"/>
      <c r="G463" s="42" t="n"/>
      <c r="H463" s="42" t="n"/>
      <c r="I463" s="44" t="n"/>
      <c r="J463" s="41" t="n"/>
    </row>
    <row r="464">
      <c r="A464" s="41" t="n"/>
      <c r="B464" s="42" t="n"/>
      <c r="C464" s="43" t="n"/>
      <c r="D464" s="42" t="inlineStr">
        <is>
          <t>未完成</t>
        </is>
      </c>
      <c r="E464" s="42" t="n"/>
      <c r="F464" s="42" t="n"/>
      <c r="G464" s="42" t="n"/>
      <c r="H464" s="42" t="n"/>
      <c r="I464" s="44" t="n"/>
      <c r="J464" s="41" t="n"/>
    </row>
    <row r="465">
      <c r="A465" s="41" t="n"/>
      <c r="B465" s="42" t="n"/>
      <c r="C465" s="43" t="n"/>
      <c r="D465" s="42" t="inlineStr">
        <is>
          <t>未完成</t>
        </is>
      </c>
      <c r="E465" s="42" t="n"/>
      <c r="F465" s="42" t="n"/>
      <c r="G465" s="42" t="n"/>
      <c r="H465" s="42" t="n"/>
      <c r="I465" s="44" t="n"/>
      <c r="J465" s="41" t="n"/>
    </row>
    <row r="466">
      <c r="A466" s="41" t="n"/>
      <c r="B466" s="42" t="n"/>
      <c r="C466" s="43" t="n"/>
      <c r="D466" s="42" t="inlineStr">
        <is>
          <t>未完成</t>
        </is>
      </c>
      <c r="E466" s="42" t="n"/>
      <c r="F466" s="42" t="n"/>
      <c r="G466" s="42" t="n"/>
      <c r="H466" s="42" t="n"/>
      <c r="I466" s="44" t="n"/>
      <c r="J466" s="41" t="n"/>
    </row>
    <row r="467">
      <c r="A467" s="41" t="n"/>
      <c r="B467" s="42" t="n"/>
      <c r="C467" s="43" t="n"/>
      <c r="D467" s="42" t="inlineStr">
        <is>
          <t>未完成</t>
        </is>
      </c>
      <c r="E467" s="42" t="n"/>
      <c r="F467" s="42" t="n"/>
      <c r="G467" s="42" t="n"/>
      <c r="H467" s="42" t="n"/>
      <c r="I467" s="44" t="n"/>
      <c r="J467" s="41" t="n"/>
    </row>
    <row r="468">
      <c r="A468" s="41" t="n"/>
      <c r="B468" s="42" t="n"/>
      <c r="C468" s="43" t="n"/>
      <c r="D468" s="42" t="inlineStr">
        <is>
          <t>未完成</t>
        </is>
      </c>
      <c r="E468" s="42" t="n"/>
      <c r="F468" s="42" t="n"/>
      <c r="G468" s="42" t="n"/>
      <c r="H468" s="42" t="n"/>
      <c r="I468" s="44" t="n"/>
      <c r="J468" s="41" t="n"/>
    </row>
    <row r="469">
      <c r="A469" s="41" t="n"/>
      <c r="B469" s="42" t="n"/>
      <c r="C469" s="43" t="n"/>
      <c r="D469" s="42" t="inlineStr">
        <is>
          <t>未完成</t>
        </is>
      </c>
      <c r="E469" s="42" t="n"/>
      <c r="F469" s="42" t="n"/>
      <c r="G469" s="42" t="n"/>
      <c r="H469" s="42" t="n"/>
      <c r="I469" s="44" t="n"/>
      <c r="J469" s="41" t="n"/>
    </row>
    <row r="470">
      <c r="A470" s="41" t="n"/>
      <c r="B470" s="42" t="n"/>
      <c r="C470" s="43" t="n"/>
      <c r="D470" s="42" t="inlineStr">
        <is>
          <t>未完成</t>
        </is>
      </c>
      <c r="E470" s="42" t="n"/>
      <c r="F470" s="42" t="n"/>
      <c r="G470" s="42" t="n"/>
      <c r="H470" s="42" t="n"/>
      <c r="I470" s="44" t="n"/>
      <c r="J470" s="41" t="n"/>
    </row>
    <row r="471">
      <c r="A471" s="41" t="n"/>
      <c r="B471" s="42" t="n"/>
      <c r="C471" s="43" t="n"/>
      <c r="D471" s="42" t="inlineStr">
        <is>
          <t>未完成</t>
        </is>
      </c>
      <c r="E471" s="42" t="n"/>
      <c r="F471" s="42" t="n"/>
      <c r="G471" s="42" t="n"/>
      <c r="H471" s="42" t="n"/>
      <c r="I471" s="44" t="n"/>
      <c r="J471" s="41" t="n"/>
    </row>
    <row r="472">
      <c r="A472" s="41" t="n"/>
      <c r="B472" s="42" t="n"/>
      <c r="C472" s="43" t="n"/>
      <c r="D472" s="42" t="inlineStr">
        <is>
          <t>未完成</t>
        </is>
      </c>
      <c r="E472" s="42" t="n"/>
      <c r="F472" s="42" t="n"/>
      <c r="G472" s="42" t="n"/>
      <c r="H472" s="42" t="n"/>
      <c r="I472" s="44" t="n"/>
      <c r="J472" s="41" t="n"/>
    </row>
    <row r="473">
      <c r="A473" s="41" t="n"/>
      <c r="B473" s="42" t="n"/>
      <c r="C473" s="43" t="n"/>
      <c r="D473" s="42" t="inlineStr">
        <is>
          <t>未完成</t>
        </is>
      </c>
      <c r="E473" s="42" t="n"/>
      <c r="F473" s="42" t="n"/>
      <c r="G473" s="42" t="n"/>
      <c r="H473" s="42" t="n"/>
      <c r="I473" s="44" t="n"/>
      <c r="J473" s="41" t="n"/>
    </row>
    <row r="474">
      <c r="A474" s="41" t="n"/>
      <c r="B474" s="42" t="n"/>
      <c r="C474" s="43" t="n"/>
      <c r="D474" s="42" t="inlineStr">
        <is>
          <t>未完成</t>
        </is>
      </c>
      <c r="E474" s="42" t="n"/>
      <c r="F474" s="42" t="n"/>
      <c r="G474" s="42" t="n"/>
      <c r="H474" s="42" t="n"/>
      <c r="I474" s="44" t="n"/>
      <c r="J474" s="41" t="n"/>
    </row>
    <row r="475">
      <c r="A475" s="41" t="n"/>
      <c r="B475" s="42" t="n"/>
      <c r="C475" s="43" t="n"/>
      <c r="D475" s="42" t="inlineStr">
        <is>
          <t>未完成</t>
        </is>
      </c>
      <c r="E475" s="42" t="n"/>
      <c r="F475" s="42" t="n"/>
      <c r="G475" s="42" t="n"/>
      <c r="H475" s="42" t="n"/>
      <c r="I475" s="44" t="n"/>
      <c r="J475" s="41" t="n"/>
    </row>
    <row r="476">
      <c r="A476" s="41" t="n"/>
      <c r="B476" s="42" t="n"/>
      <c r="C476" s="43" t="n"/>
      <c r="D476" s="42" t="inlineStr">
        <is>
          <t>未完成</t>
        </is>
      </c>
      <c r="E476" s="42" t="n"/>
      <c r="F476" s="42" t="n"/>
      <c r="G476" s="42" t="n"/>
      <c r="H476" s="42" t="n"/>
      <c r="I476" s="44" t="n"/>
      <c r="J476" s="41" t="n"/>
    </row>
    <row r="477">
      <c r="A477" s="41" t="n"/>
      <c r="B477" s="42" t="n"/>
      <c r="C477" s="43" t="n"/>
      <c r="D477" s="42" t="inlineStr">
        <is>
          <t>未完成</t>
        </is>
      </c>
      <c r="E477" s="42" t="n"/>
      <c r="F477" s="42" t="n"/>
      <c r="G477" s="42" t="n"/>
      <c r="H477" s="42" t="n"/>
      <c r="I477" s="44" t="n"/>
      <c r="J477" s="41" t="n"/>
    </row>
    <row r="478">
      <c r="A478" s="41" t="n"/>
      <c r="B478" s="42" t="n"/>
      <c r="C478" s="43" t="n"/>
      <c r="D478" s="42" t="inlineStr">
        <is>
          <t>未完成</t>
        </is>
      </c>
      <c r="E478" s="42" t="n"/>
      <c r="F478" s="42" t="n"/>
      <c r="G478" s="42" t="n"/>
      <c r="H478" s="42" t="n"/>
      <c r="I478" s="44" t="n"/>
      <c r="J478" s="41" t="n"/>
    </row>
    <row r="479">
      <c r="A479" s="41" t="n"/>
      <c r="B479" s="42" t="n"/>
      <c r="C479" s="43" t="n"/>
      <c r="D479" s="42" t="inlineStr">
        <is>
          <t>未完成</t>
        </is>
      </c>
      <c r="E479" s="42" t="n"/>
      <c r="F479" s="42" t="n"/>
      <c r="G479" s="42" t="n"/>
      <c r="H479" s="42" t="n"/>
      <c r="I479" s="44" t="n"/>
      <c r="J479" s="41" t="n"/>
    </row>
    <row r="480">
      <c r="A480" s="41" t="n"/>
      <c r="B480" s="42" t="n"/>
      <c r="C480" s="43" t="n"/>
      <c r="D480" s="42" t="inlineStr">
        <is>
          <t>未完成</t>
        </is>
      </c>
      <c r="E480" s="42" t="n"/>
      <c r="F480" s="42" t="n"/>
      <c r="G480" s="42" t="n"/>
      <c r="H480" s="42" t="n"/>
      <c r="I480" s="44" t="n"/>
      <c r="J480" s="41" t="n"/>
    </row>
    <row r="481">
      <c r="A481" s="41" t="n"/>
      <c r="B481" s="42" t="n"/>
      <c r="C481" s="43" t="n"/>
      <c r="D481" s="42" t="inlineStr">
        <is>
          <t>未完成</t>
        </is>
      </c>
      <c r="E481" s="42" t="n"/>
      <c r="F481" s="42" t="n"/>
      <c r="G481" s="42" t="n"/>
      <c r="H481" s="42" t="n"/>
      <c r="I481" s="44" t="n"/>
      <c r="J481" s="41" t="n"/>
    </row>
    <row r="482">
      <c r="A482" s="41" t="n"/>
      <c r="B482" s="42" t="n"/>
      <c r="C482" s="43" t="n"/>
      <c r="D482" s="42" t="inlineStr">
        <is>
          <t>未完成</t>
        </is>
      </c>
      <c r="E482" s="42" t="n"/>
      <c r="F482" s="42" t="n"/>
      <c r="G482" s="42" t="n"/>
      <c r="H482" s="42" t="n"/>
      <c r="I482" s="44" t="n"/>
      <c r="J482" s="41" t="n"/>
    </row>
    <row r="483">
      <c r="A483" s="41" t="n"/>
      <c r="B483" s="42" t="n"/>
      <c r="C483" s="43" t="n"/>
      <c r="D483" s="42" t="inlineStr">
        <is>
          <t>未完成</t>
        </is>
      </c>
      <c r="E483" s="42" t="n"/>
      <c r="F483" s="42" t="n"/>
      <c r="G483" s="42" t="n"/>
      <c r="H483" s="42" t="n"/>
      <c r="I483" s="44" t="n"/>
      <c r="J483" s="41" t="n"/>
    </row>
    <row r="484">
      <c r="A484" s="41" t="n"/>
      <c r="B484" s="42" t="n"/>
      <c r="C484" s="43" t="n"/>
      <c r="D484" s="42" t="inlineStr">
        <is>
          <t>未完成</t>
        </is>
      </c>
      <c r="E484" s="42" t="n"/>
      <c r="F484" s="42" t="n"/>
      <c r="G484" s="42" t="n"/>
      <c r="H484" s="42" t="n"/>
      <c r="I484" s="44" t="n"/>
      <c r="J484" s="41" t="n"/>
    </row>
    <row r="485">
      <c r="A485" s="41" t="n"/>
      <c r="B485" s="42" t="n"/>
      <c r="C485" s="43" t="n"/>
      <c r="D485" s="42" t="inlineStr">
        <is>
          <t>未完成</t>
        </is>
      </c>
      <c r="E485" s="42" t="n"/>
      <c r="F485" s="42" t="n"/>
      <c r="G485" s="42" t="n"/>
      <c r="H485" s="42" t="n"/>
      <c r="I485" s="44" t="n"/>
      <c r="J485" s="41" t="n"/>
    </row>
    <row r="486">
      <c r="A486" s="41" t="n"/>
      <c r="B486" s="42" t="n"/>
      <c r="C486" s="43" t="n"/>
      <c r="D486" s="42" t="inlineStr">
        <is>
          <t>未完成</t>
        </is>
      </c>
      <c r="E486" s="42" t="n"/>
      <c r="F486" s="42" t="n"/>
      <c r="G486" s="42" t="n"/>
      <c r="H486" s="42" t="n"/>
      <c r="I486" s="44" t="n"/>
      <c r="J486" s="41" t="n"/>
    </row>
    <row r="487">
      <c r="A487" s="41" t="n"/>
      <c r="B487" s="42" t="n"/>
      <c r="C487" s="43" t="n"/>
      <c r="D487" s="42" t="inlineStr">
        <is>
          <t>未完成</t>
        </is>
      </c>
      <c r="E487" s="42" t="n"/>
      <c r="F487" s="42" t="n"/>
      <c r="G487" s="42" t="n"/>
      <c r="H487" s="42" t="n"/>
      <c r="I487" s="44" t="n"/>
      <c r="J487" s="41" t="n"/>
    </row>
    <row r="488">
      <c r="A488" s="41" t="n"/>
      <c r="B488" s="42" t="n"/>
      <c r="C488" s="43" t="n"/>
      <c r="D488" s="42" t="inlineStr">
        <is>
          <t>未完成</t>
        </is>
      </c>
      <c r="E488" s="42" t="n"/>
      <c r="F488" s="42" t="n"/>
      <c r="G488" s="42" t="n"/>
      <c r="H488" s="42" t="n"/>
      <c r="I488" s="44" t="n"/>
      <c r="J488" s="41" t="n"/>
    </row>
    <row r="489">
      <c r="A489" s="41" t="n"/>
      <c r="B489" s="42" t="n"/>
      <c r="C489" s="43" t="n"/>
      <c r="D489" s="42" t="inlineStr">
        <is>
          <t>未完成</t>
        </is>
      </c>
      <c r="E489" s="42" t="n"/>
      <c r="F489" s="42" t="n"/>
      <c r="G489" s="42" t="n"/>
      <c r="H489" s="42" t="n"/>
      <c r="I489" s="44" t="n"/>
      <c r="J489" s="41" t="n"/>
    </row>
    <row r="490">
      <c r="A490" s="41" t="n"/>
      <c r="B490" s="42" t="n"/>
      <c r="C490" s="43" t="n"/>
      <c r="D490" s="42" t="inlineStr">
        <is>
          <t>未完成</t>
        </is>
      </c>
      <c r="E490" s="42" t="n"/>
      <c r="F490" s="42" t="n"/>
      <c r="G490" s="42" t="n"/>
      <c r="H490" s="42" t="n"/>
      <c r="I490" s="44" t="n"/>
      <c r="J490" s="41" t="n"/>
    </row>
  </sheetData>
  <autoFilter ref="A1:J490"/>
  <conditionalFormatting sqref="A2:J490">
    <cfRule type="expression" priority="1" dxfId="0" stopIfTrue="0">
      <formula>$D2="不需要"</formula>
    </cfRule>
    <cfRule type="expression" priority="2" dxfId="1" stopIfTrue="0">
      <formula>$D2="已完成"</formula>
    </cfRule>
  </conditionalFormatting>
  <conditionalFormatting sqref="E2:E490">
    <cfRule type="expression" priority="3" dxfId="2" stopIfTrue="0">
      <formula>$E2="是"</formula>
    </cfRule>
  </conditionalFormatting>
  <dataValidations count="6">
    <dataValidation sqref="A2:A490" showDropDown="0" showInputMessage="0" showErrorMessage="0" allowBlank="1" type="list">
      <formula1>"证件与材料,钱与银行,住 · 租房,住 · 床品家居,住 · 清洁耗材,电子与充电,洗漱护肤,穿 · 衣物鞋包,药品医疗,食 · 厨房调料,文具与学习,行 · 机票行李,通讯与账号,落地采购,国内收尾,红线 · 别带,不建议带"</formula1>
    </dataValidation>
    <dataValidation sqref="B2:B490" showDropDown="0" showInputMessage="0" showErrorMessage="0" allowBlank="1" type="list">
      <formula1>"T-60+ 两个月前,T-30 一个月前,T-7 出发前一周,D-DAY 出发当天,D+0 落地 48h,W1 第一周,M1 第一个月"</formula1>
    </dataValidation>
    <dataValidation sqref="D2:D490" showDropDown="0" showInputMessage="0" showErrorMessage="0" allowBlank="0" type="list">
      <formula1>"未完成,已完成,不需要"</formula1>
    </dataValidation>
    <dataValidation sqref="E2:E490" showDropDown="0" showInputMessage="0" showErrorMessage="0" allowBlank="1" type="list">
      <formula1>"是,"</formula1>
    </dataValidation>
    <dataValidation sqref="F2:F490" showDropDown="0" showInputMessage="0" showErrorMessage="0" allowBlank="1" type="list">
      <formula1>"国内带,落地买,"</formula1>
    </dataValidation>
    <dataValidation sqref="H2:H490" showDropDown="0" showInputMessage="0" showErrorMessage="0" allowBlank="1" type="list">
      <formula1>"SGD,CNY"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6" customWidth="1" min="4" max="4"/>
    <col width="16" customWidth="1" min="5" max="5"/>
    <col width="14" customWidth="1" min="6" max="6"/>
  </cols>
  <sheetData>
    <row r="1">
      <c r="A1" s="45" t="inlineStr">
        <is>
          <t>预算估算</t>
        </is>
      </c>
    </row>
    <row r="2">
      <c r="A2" s="2" t="inlineStr">
        <is>
          <t>「预估」列是从「清单」表自动汇总的，改清单里的金额这里就跟着变。「实际花费」列自己填，用人民币。</t>
        </is>
      </c>
    </row>
    <row r="4">
      <c r="A4" s="29" t="inlineStr">
        <is>
          <t>分类</t>
        </is>
      </c>
      <c r="B4" s="29" t="inlineStr">
        <is>
          <t>预估 SGD</t>
        </is>
      </c>
      <c r="C4" s="29" t="inlineStr">
        <is>
          <t>预估 CNY</t>
        </is>
      </c>
      <c r="D4" s="29" t="inlineStr">
        <is>
          <t>预估合计（¥）</t>
        </is>
      </c>
      <c r="E4" s="29" t="inlineStr">
        <is>
          <t>实际花费（¥）</t>
        </is>
      </c>
      <c r="F4" s="29" t="inlineStr">
        <is>
          <t>差额（¥）</t>
        </is>
      </c>
    </row>
    <row r="5">
      <c r="A5" s="19" t="inlineStr">
        <is>
          <t>证件与材料</t>
        </is>
      </c>
      <c r="B5" s="23">
        <f>SUMIFS(清单!$G$2:$G$490,清单!$A$2:$A$490,$A5,清单!$H$2:$H$490,"SGD",清单!$D$2:$D$490,"&lt;&gt;不需要")</f>
        <v/>
      </c>
      <c r="C5" s="23">
        <f>SUMIFS(清单!$G$2:$G$490,清单!$A$2:$A$490,$A5,清单!$H$2:$H$490,"CNY",清单!$D$2:$D$490,"&lt;&gt;不需要")</f>
        <v/>
      </c>
      <c r="D5" s="46">
        <f>$B5*总览!$B$6+$C5</f>
        <v/>
      </c>
      <c r="E5" s="47" t="n"/>
      <c r="F5" s="48">
        <f>IF($E5="","",$E5-$D5)</f>
        <v/>
      </c>
    </row>
    <row r="6">
      <c r="A6" s="19" t="inlineStr">
        <is>
          <t>钱与银行</t>
        </is>
      </c>
      <c r="B6" s="23">
        <f>SUMIFS(清单!$G$2:$G$490,清单!$A$2:$A$490,$A6,清单!$H$2:$H$490,"SGD",清单!$D$2:$D$490,"&lt;&gt;不需要")</f>
        <v/>
      </c>
      <c r="C6" s="23">
        <f>SUMIFS(清单!$G$2:$G$490,清单!$A$2:$A$490,$A6,清单!$H$2:$H$490,"CNY",清单!$D$2:$D$490,"&lt;&gt;不需要")</f>
        <v/>
      </c>
      <c r="D6" s="46">
        <f>$B6*总览!$B$6+$C6</f>
        <v/>
      </c>
      <c r="E6" s="47" t="n"/>
      <c r="F6" s="48">
        <f>IF($E6="","",$E6-$D6)</f>
        <v/>
      </c>
    </row>
    <row r="7">
      <c r="A7" s="19" t="inlineStr">
        <is>
          <t>住 · 租房</t>
        </is>
      </c>
      <c r="B7" s="23">
        <f>SUMIFS(清单!$G$2:$G$490,清单!$A$2:$A$490,$A7,清单!$H$2:$H$490,"SGD",清单!$D$2:$D$490,"&lt;&gt;不需要")</f>
        <v/>
      </c>
      <c r="C7" s="23">
        <f>SUMIFS(清单!$G$2:$G$490,清单!$A$2:$A$490,$A7,清单!$H$2:$H$490,"CNY",清单!$D$2:$D$490,"&lt;&gt;不需要")</f>
        <v/>
      </c>
      <c r="D7" s="46">
        <f>$B7*总览!$B$6+$C7</f>
        <v/>
      </c>
      <c r="E7" s="47" t="n"/>
      <c r="F7" s="48">
        <f>IF($E7="","",$E7-$D7)</f>
        <v/>
      </c>
    </row>
    <row r="8">
      <c r="A8" s="19" t="inlineStr">
        <is>
          <t>住 · 床品家居</t>
        </is>
      </c>
      <c r="B8" s="23">
        <f>SUMIFS(清单!$G$2:$G$490,清单!$A$2:$A$490,$A8,清单!$H$2:$H$490,"SGD",清单!$D$2:$D$490,"&lt;&gt;不需要")</f>
        <v/>
      </c>
      <c r="C8" s="23">
        <f>SUMIFS(清单!$G$2:$G$490,清单!$A$2:$A$490,$A8,清单!$H$2:$H$490,"CNY",清单!$D$2:$D$490,"&lt;&gt;不需要")</f>
        <v/>
      </c>
      <c r="D8" s="46">
        <f>$B8*总览!$B$6+$C8</f>
        <v/>
      </c>
      <c r="E8" s="47" t="n"/>
      <c r="F8" s="48">
        <f>IF($E8="","",$E8-$D8)</f>
        <v/>
      </c>
    </row>
    <row r="9">
      <c r="A9" s="19" t="inlineStr">
        <is>
          <t>住 · 清洁耗材</t>
        </is>
      </c>
      <c r="B9" s="23">
        <f>SUMIFS(清单!$G$2:$G$490,清单!$A$2:$A$490,$A9,清单!$H$2:$H$490,"SGD",清单!$D$2:$D$490,"&lt;&gt;不需要")</f>
        <v/>
      </c>
      <c r="C9" s="23">
        <f>SUMIFS(清单!$G$2:$G$490,清单!$A$2:$A$490,$A9,清单!$H$2:$H$490,"CNY",清单!$D$2:$D$490,"&lt;&gt;不需要")</f>
        <v/>
      </c>
      <c r="D9" s="46">
        <f>$B9*总览!$B$6+$C9</f>
        <v/>
      </c>
      <c r="E9" s="47" t="n"/>
      <c r="F9" s="48">
        <f>IF($E9="","",$E9-$D9)</f>
        <v/>
      </c>
    </row>
    <row r="10">
      <c r="A10" s="19" t="inlineStr">
        <is>
          <t>电子与充电</t>
        </is>
      </c>
      <c r="B10" s="23">
        <f>SUMIFS(清单!$G$2:$G$490,清单!$A$2:$A$490,$A10,清单!$H$2:$H$490,"SGD",清单!$D$2:$D$490,"&lt;&gt;不需要")</f>
        <v/>
      </c>
      <c r="C10" s="23">
        <f>SUMIFS(清单!$G$2:$G$490,清单!$A$2:$A$490,$A10,清单!$H$2:$H$490,"CNY",清单!$D$2:$D$490,"&lt;&gt;不需要")</f>
        <v/>
      </c>
      <c r="D10" s="46">
        <f>$B10*总览!$B$6+$C10</f>
        <v/>
      </c>
      <c r="E10" s="47" t="n"/>
      <c r="F10" s="48">
        <f>IF($E10="","",$E10-$D10)</f>
        <v/>
      </c>
    </row>
    <row r="11">
      <c r="A11" s="19" t="inlineStr">
        <is>
          <t>洗漱护肤</t>
        </is>
      </c>
      <c r="B11" s="23">
        <f>SUMIFS(清单!$G$2:$G$490,清单!$A$2:$A$490,$A11,清单!$H$2:$H$490,"SGD",清单!$D$2:$D$490,"&lt;&gt;不需要")</f>
        <v/>
      </c>
      <c r="C11" s="23">
        <f>SUMIFS(清单!$G$2:$G$490,清单!$A$2:$A$490,$A11,清单!$H$2:$H$490,"CNY",清单!$D$2:$D$490,"&lt;&gt;不需要")</f>
        <v/>
      </c>
      <c r="D11" s="46">
        <f>$B11*总览!$B$6+$C11</f>
        <v/>
      </c>
      <c r="E11" s="47" t="n"/>
      <c r="F11" s="48">
        <f>IF($E11="","",$E11-$D11)</f>
        <v/>
      </c>
    </row>
    <row r="12">
      <c r="A12" s="19" t="inlineStr">
        <is>
          <t>穿 · 衣物鞋包</t>
        </is>
      </c>
      <c r="B12" s="23">
        <f>SUMIFS(清单!$G$2:$G$490,清单!$A$2:$A$490,$A12,清单!$H$2:$H$490,"SGD",清单!$D$2:$D$490,"&lt;&gt;不需要")</f>
        <v/>
      </c>
      <c r="C12" s="23">
        <f>SUMIFS(清单!$G$2:$G$490,清单!$A$2:$A$490,$A12,清单!$H$2:$H$490,"CNY",清单!$D$2:$D$490,"&lt;&gt;不需要")</f>
        <v/>
      </c>
      <c r="D12" s="46">
        <f>$B12*总览!$B$6+$C12</f>
        <v/>
      </c>
      <c r="E12" s="47" t="n"/>
      <c r="F12" s="48">
        <f>IF($E12="","",$E12-$D12)</f>
        <v/>
      </c>
    </row>
    <row r="13">
      <c r="A13" s="19" t="inlineStr">
        <is>
          <t>药品医疗</t>
        </is>
      </c>
      <c r="B13" s="23">
        <f>SUMIFS(清单!$G$2:$G$490,清单!$A$2:$A$490,$A13,清单!$H$2:$H$490,"SGD",清单!$D$2:$D$490,"&lt;&gt;不需要")</f>
        <v/>
      </c>
      <c r="C13" s="23">
        <f>SUMIFS(清单!$G$2:$G$490,清单!$A$2:$A$490,$A13,清单!$H$2:$H$490,"CNY",清单!$D$2:$D$490,"&lt;&gt;不需要")</f>
        <v/>
      </c>
      <c r="D13" s="46">
        <f>$B13*总览!$B$6+$C13</f>
        <v/>
      </c>
      <c r="E13" s="47" t="n"/>
      <c r="F13" s="48">
        <f>IF($E13="","",$E13-$D13)</f>
        <v/>
      </c>
    </row>
    <row r="14">
      <c r="A14" s="19" t="inlineStr">
        <is>
          <t>食 · 厨房调料</t>
        </is>
      </c>
      <c r="B14" s="23">
        <f>SUMIFS(清单!$G$2:$G$490,清单!$A$2:$A$490,$A14,清单!$H$2:$H$490,"SGD",清单!$D$2:$D$490,"&lt;&gt;不需要")</f>
        <v/>
      </c>
      <c r="C14" s="23">
        <f>SUMIFS(清单!$G$2:$G$490,清单!$A$2:$A$490,$A14,清单!$H$2:$H$490,"CNY",清单!$D$2:$D$490,"&lt;&gt;不需要")</f>
        <v/>
      </c>
      <c r="D14" s="46">
        <f>$B14*总览!$B$6+$C14</f>
        <v/>
      </c>
      <c r="E14" s="47" t="n"/>
      <c r="F14" s="48">
        <f>IF($E14="","",$E14-$D14)</f>
        <v/>
      </c>
    </row>
    <row r="15">
      <c r="A15" s="19" t="inlineStr">
        <is>
          <t>文具与学习</t>
        </is>
      </c>
      <c r="B15" s="23">
        <f>SUMIFS(清单!$G$2:$G$490,清单!$A$2:$A$490,$A15,清单!$H$2:$H$490,"SGD",清单!$D$2:$D$490,"&lt;&gt;不需要")</f>
        <v/>
      </c>
      <c r="C15" s="23">
        <f>SUMIFS(清单!$G$2:$G$490,清单!$A$2:$A$490,$A15,清单!$H$2:$H$490,"CNY",清单!$D$2:$D$490,"&lt;&gt;不需要")</f>
        <v/>
      </c>
      <c r="D15" s="46">
        <f>$B15*总览!$B$6+$C15</f>
        <v/>
      </c>
      <c r="E15" s="47" t="n"/>
      <c r="F15" s="48">
        <f>IF($E15="","",$E15-$D15)</f>
        <v/>
      </c>
    </row>
    <row r="16">
      <c r="A16" s="19" t="inlineStr">
        <is>
          <t>行 · 机票行李</t>
        </is>
      </c>
      <c r="B16" s="23">
        <f>SUMIFS(清单!$G$2:$G$490,清单!$A$2:$A$490,$A16,清单!$H$2:$H$490,"SGD",清单!$D$2:$D$490,"&lt;&gt;不需要")</f>
        <v/>
      </c>
      <c r="C16" s="23">
        <f>SUMIFS(清单!$G$2:$G$490,清单!$A$2:$A$490,$A16,清单!$H$2:$H$490,"CNY",清单!$D$2:$D$490,"&lt;&gt;不需要")</f>
        <v/>
      </c>
      <c r="D16" s="46">
        <f>$B16*总览!$B$6+$C16</f>
        <v/>
      </c>
      <c r="E16" s="47" t="n"/>
      <c r="F16" s="48">
        <f>IF($E16="","",$E16-$D16)</f>
        <v/>
      </c>
    </row>
    <row r="17">
      <c r="A17" s="19" t="inlineStr">
        <is>
          <t>通讯与账号</t>
        </is>
      </c>
      <c r="B17" s="23">
        <f>SUMIFS(清单!$G$2:$G$490,清单!$A$2:$A$490,$A17,清单!$H$2:$H$490,"SGD",清单!$D$2:$D$490,"&lt;&gt;不需要")</f>
        <v/>
      </c>
      <c r="C17" s="23">
        <f>SUMIFS(清单!$G$2:$G$490,清单!$A$2:$A$490,$A17,清单!$H$2:$H$490,"CNY",清单!$D$2:$D$490,"&lt;&gt;不需要")</f>
        <v/>
      </c>
      <c r="D17" s="46">
        <f>$B17*总览!$B$6+$C17</f>
        <v/>
      </c>
      <c r="E17" s="47" t="n"/>
      <c r="F17" s="48">
        <f>IF($E17="","",$E17-$D17)</f>
        <v/>
      </c>
    </row>
    <row r="18">
      <c r="A18" s="19" t="inlineStr">
        <is>
          <t>落地采购</t>
        </is>
      </c>
      <c r="B18" s="23">
        <f>SUMIFS(清单!$G$2:$G$490,清单!$A$2:$A$490,$A18,清单!$H$2:$H$490,"SGD",清单!$D$2:$D$490,"&lt;&gt;不需要")</f>
        <v/>
      </c>
      <c r="C18" s="23">
        <f>SUMIFS(清单!$G$2:$G$490,清单!$A$2:$A$490,$A18,清单!$H$2:$H$490,"CNY",清单!$D$2:$D$490,"&lt;&gt;不需要")</f>
        <v/>
      </c>
      <c r="D18" s="46">
        <f>$B18*总览!$B$6+$C18</f>
        <v/>
      </c>
      <c r="E18" s="47" t="n"/>
      <c r="F18" s="48">
        <f>IF($E18="","",$E18-$D18)</f>
        <v/>
      </c>
    </row>
    <row r="19">
      <c r="A19" s="19" t="inlineStr">
        <is>
          <t>国内收尾</t>
        </is>
      </c>
      <c r="B19" s="23">
        <f>SUMIFS(清单!$G$2:$G$490,清单!$A$2:$A$490,$A19,清单!$H$2:$H$490,"SGD",清单!$D$2:$D$490,"&lt;&gt;不需要")</f>
        <v/>
      </c>
      <c r="C19" s="23">
        <f>SUMIFS(清单!$G$2:$G$490,清单!$A$2:$A$490,$A19,清单!$H$2:$H$490,"CNY",清单!$D$2:$D$490,"&lt;&gt;不需要")</f>
        <v/>
      </c>
      <c r="D19" s="46">
        <f>$B19*总览!$B$6+$C19</f>
        <v/>
      </c>
      <c r="E19" s="47" t="n"/>
      <c r="F19" s="48">
        <f>IF($E19="","",$E19-$D19)</f>
        <v/>
      </c>
    </row>
    <row r="20">
      <c r="A20" s="19" t="inlineStr">
        <is>
          <t>红线 · 别带</t>
        </is>
      </c>
      <c r="B20" s="23">
        <f>SUMIFS(清单!$G$2:$G$490,清单!$A$2:$A$490,$A20,清单!$H$2:$H$490,"SGD",清单!$D$2:$D$490,"&lt;&gt;不需要")</f>
        <v/>
      </c>
      <c r="C20" s="23">
        <f>SUMIFS(清单!$G$2:$G$490,清单!$A$2:$A$490,$A20,清单!$H$2:$H$490,"CNY",清单!$D$2:$D$490,"&lt;&gt;不需要")</f>
        <v/>
      </c>
      <c r="D20" s="46">
        <f>$B20*总览!$B$6+$C20</f>
        <v/>
      </c>
      <c r="E20" s="47" t="n"/>
      <c r="F20" s="48">
        <f>IF($E20="","",$E20-$D20)</f>
        <v/>
      </c>
    </row>
    <row r="21">
      <c r="A21" s="19" t="inlineStr">
        <is>
          <t>不建议带</t>
        </is>
      </c>
      <c r="B21" s="23">
        <f>SUMIFS(清单!$G$2:$G$490,清单!$A$2:$A$490,$A21,清单!$H$2:$H$490,"SGD",清单!$D$2:$D$490,"&lt;&gt;不需要")</f>
        <v/>
      </c>
      <c r="C21" s="23">
        <f>SUMIFS(清单!$G$2:$G$490,清单!$A$2:$A$490,$A21,清单!$H$2:$H$490,"CNY",清单!$D$2:$D$490,"&lt;&gt;不需要")</f>
        <v/>
      </c>
      <c r="D21" s="46">
        <f>$B21*总览!$B$6+$C21</f>
        <v/>
      </c>
      <c r="E21" s="47" t="n"/>
      <c r="F21" s="48">
        <f>IF($E21="","",$E21-$D21)</f>
        <v/>
      </c>
    </row>
    <row r="22">
      <c r="A22" s="24" t="inlineStr">
        <is>
          <t>合计</t>
        </is>
      </c>
      <c r="B22" s="49">
        <f>SUM(B5:B21)</f>
        <v/>
      </c>
      <c r="C22" s="49">
        <f>SUM(C5:C21)</f>
        <v/>
      </c>
      <c r="D22" s="50">
        <f>SUM(D5:D21)</f>
        <v/>
      </c>
      <c r="E22" s="50">
        <f>SUM(E5:E21)</f>
        <v/>
      </c>
      <c r="F22" s="50">
        <f>SUM(F5:F21)</f>
        <v/>
      </c>
    </row>
    <row r="24">
      <c r="A24" s="6" t="inlineStr">
        <is>
          <t>预估里没有包含的大头，自己按实际情况加到「清单」表里：</t>
        </is>
      </c>
    </row>
    <row r="25">
      <c r="A25" s="2" t="inlineStr">
        <is>
          <t xml:space="preserve">  · 学费 —— 以 NTU 录取邮件 / NSS-Finance 账单为准</t>
        </is>
      </c>
    </row>
    <row r="26">
      <c r="A26" s="2" t="inlineStr">
        <is>
          <t xml:space="preserve">  · 机票 —— 以你实际买的为准</t>
        </is>
      </c>
    </row>
    <row r="27">
      <c r="A27" s="2" t="inlineStr">
        <is>
          <t xml:space="preserve">  · 每月房租 × 租期 —— 清单里只填了「押金 + 首月」，长期租金要单独算</t>
        </is>
      </c>
    </row>
    <row r="28">
      <c r="A28" s="2" t="inlineStr">
        <is>
          <t xml:space="preserve">  · 日常伙食、交通、话费的月度开销</t>
        </is>
      </c>
    </row>
    <row r="29">
      <c r="A29" s="2" t="inlineStr"/>
    </row>
    <row r="30">
      <c r="A30" s="6" t="inlineStr">
        <is>
          <t>已填的参考金额出处见「说明与来源」表，抓取日期 2026-09-17，费用和政策会变，出发前以官网为准。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4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2">
      <c r="B2" s="51" t="inlineStr">
        <is>
          <t>说明与来源</t>
        </is>
      </c>
    </row>
    <row r="3">
      <c r="B3" s="52" t="inlineStr">
        <is>
          <t>抓取日期：2026-09-17。费用和政策会变，出发前请以 NTU / ICA 官网和你自己收到的邮件通知为准。</t>
        </is>
      </c>
    </row>
    <row r="4">
      <c r="B4" s="53" t="inlineStr"/>
    </row>
    <row r="5">
      <c r="B5" s="54" t="inlineStr">
        <is>
          <t>一、这份表里哪些是推断的</t>
        </is>
      </c>
    </row>
    <row r="6">
      <c r="B6" s="52" t="inlineStr">
        <is>
          <t>· 出发日期默认 2026-11-01：你说的是「11 intake」，我按 2026 年 11 月入学推的，不是你给的日期。在「总览」B5 改成真实出发日。</t>
        </is>
      </c>
    </row>
    <row r="7">
      <c r="B7" s="52" t="inlineStr">
        <is>
          <t>· 汇率默认 1 SGD = 5.40 CNY：非实时，待核实。在「总览」B6 改。</t>
        </is>
      </c>
    </row>
    <row r="8">
      <c r="B8" s="52" t="inlineStr">
        <is>
          <t>· 「国内带 / 落地买」的标注来自留学生攻略帖的普遍说法，是个人经验汇总，不是硬规则。</t>
        </is>
      </c>
    </row>
    <row r="9">
      <c r="B9" s="52" t="inlineStr">
        <is>
          <t>· 租金区间（Jurong West 普通房约 S$900/月、Lakeside 2B2B 次卧约 S$1900/月）是 2026-09 小红书上的单套挂牌价，不代表市场均价。</t>
        </is>
      </c>
    </row>
    <row r="10">
      <c r="B10" s="53" t="inlineStr"/>
    </row>
    <row r="11">
      <c r="B11" s="54" t="inlineStr">
        <is>
          <t>二、哪些还需要你自己核实</t>
        </is>
      </c>
    </row>
    <row r="12">
      <c r="B12" s="52" t="inlineStr">
        <is>
          <t>· 「红线 · 别带」整栏（口香糖、电子烟、含麻黄碱/可待因的药、含濒危成分中成药、肉制品）来自中文攻略汇总，我没有逐条从官网核对。这一栏后果最重，出发前请上 Singapore Customs（customs.gov.sg）和 HSA（hsa.gov.sg）官网再确认。</t>
        </is>
      </c>
    </row>
    <row r="13">
      <c r="B13" s="52" t="inlineStr">
        <is>
          <t>· 过滤花洒是否必要：攻略里高频推荐，说新加坡水质偏硬，但效果因人而异，待核实。</t>
        </is>
      </c>
    </row>
    <row r="14">
      <c r="B14" s="52" t="inlineStr">
        <is>
          <t>· 航司行李额（东航 23kg/件、加一件约 800 元人民币）是 2026-09 某篇留学生记录，以你实际购买的航司条款为准。</t>
        </is>
      </c>
    </row>
    <row r="15">
      <c r="B15" s="53" t="inlineStr"/>
    </row>
    <row r="16">
      <c r="B16" s="54" t="inlineStr">
        <is>
          <t>三、官方来源</t>
        </is>
      </c>
    </row>
    <row r="17">
      <c r="B17" s="52" t="inlineStr">
        <is>
          <t>学生准证流程 / S$45 处理费 / S$60 签发费 + S$30 多次往返 / ICA 必须预约办理：</t>
        </is>
      </c>
    </row>
    <row r="18">
      <c r="B18" s="55" t="inlineStr">
        <is>
          <t>https://www.ntu.edu.sg/life-at-ntu/student-life/student-services/onestop/student's-pass/application-of-student's-pass</t>
        </is>
      </c>
    </row>
    <row r="19">
      <c r="B19" s="52" t="inlineStr">
        <is>
          <t>入学体检 S$32（不含 GST）、异常加拍胸片 S$15、可在国内做后由 Fullerton Health @NTU 认证：</t>
        </is>
      </c>
    </row>
    <row r="20">
      <c r="B20" s="55" t="inlineStr">
        <is>
          <t>https://www.ntu.edu.sg/admissions/graduate/gfreshmenguide/incoming-graduate-student-guide/healthscreening</t>
        </is>
      </c>
    </row>
    <row r="21">
      <c r="B21" s="52" t="inlineStr">
        <is>
          <t>完成手续与领取学生准证：</t>
        </is>
      </c>
    </row>
    <row r="22">
      <c r="B22" s="55" t="inlineStr">
        <is>
          <t>https://www.ica.gov.sg/reside/STP/collect</t>
        </is>
      </c>
    </row>
    <row r="23">
      <c r="B23" s="52" t="inlineStr">
        <is>
          <t>注册 Matriculation：</t>
        </is>
      </c>
    </row>
    <row r="24">
      <c r="B24" s="55" t="inlineStr">
        <is>
          <t>https://www.ntu.edu.sg/admissions/matriculation</t>
        </is>
      </c>
    </row>
    <row r="25">
      <c r="B25" s="53" t="inlineStr"/>
    </row>
    <row r="26">
      <c r="B26" s="54" t="inlineStr">
        <is>
          <t>四、条目级来源（小红书留学生实录，2026-09 可见）</t>
        </is>
      </c>
    </row>
    <row r="27">
      <c r="B27" s="52" t="inlineStr">
        <is>
          <t>物品级的条目和牌子，绝大部分来自下面这几篇。它们是个人经验，不是官方规定；同一件事不同人结论可能相反（比如衣架该不该带），我把冲突的说法都保留在「说明 / 出处」列里了，你自己挑。</t>
        </is>
      </c>
    </row>
    <row r="28">
      <c r="B28" s="52" t="inlineStr">
        <is>
          <t>· 小红书 @杂菜饭主理人「25fall新硕留子の开学清单」868赞，NTU 专属，2026-09</t>
        </is>
      </c>
    </row>
    <row r="29">
      <c r="B29" s="52" t="inlineStr">
        <is>
          <t>· 小红书 @krsttt「NUS j人留子 行前准备」733赞，2026-09</t>
        </is>
      </c>
    </row>
    <row r="30">
      <c r="B30" s="52" t="inlineStr">
        <is>
          <t>· 小红书 @frjinnfaerei「26fall行李进度50%」459赞，2026-09</t>
        </is>
      </c>
    </row>
    <row r="31">
      <c r="B31" s="52" t="inlineStr">
        <is>
          <t>· 小红书 @明天会下雨吗？「新加坡留学之什么真的该带」576赞，2026-09</t>
        </is>
      </c>
    </row>
    <row r="32">
      <c r="B32" s="52" t="inlineStr">
        <is>
          <t>· 小红书 @松鼠滚果果「新加坡留学落地攻略」812赞，2026-09</t>
        </is>
      </c>
    </row>
    <row r="33">
      <c r="B33" s="52" t="inlineStr">
        <is>
          <t>· 小红书 @StayGold「落地樟宜T3买Singtel卡」694赞，2026-09</t>
        </is>
      </c>
    </row>
    <row r="34">
      <c r="B34" s="52" t="inlineStr">
        <is>
          <t>· 小红书 @Swallow’s eyes「首落樟宜从从容容三件事」970赞，2026-09</t>
        </is>
      </c>
    </row>
    <row r="35">
      <c r="B35" s="52" t="inlineStr">
        <is>
          <t>· 小红书 @夏芽儿「别租Westwood」241赞，2026-09</t>
        </is>
      </c>
    </row>
    <row r="36">
      <c r="B36" s="53" t="inlineStr"/>
    </row>
    <row r="37">
      <c r="B37" s="52" t="inlineStr">
        <is>
          <t>原始链接：</t>
        </is>
      </c>
    </row>
    <row r="38">
      <c r="B38" s="55" t="inlineStr">
        <is>
          <t>https://www.xiaohongshu.com/explore/6a60a4b8000000001302f17d</t>
        </is>
      </c>
    </row>
    <row r="39">
      <c r="B39" s="55" t="inlineStr">
        <is>
          <t>https://www.xiaohongshu.com/explore/6a5d6ff7000000001101a6c4</t>
        </is>
      </c>
    </row>
    <row r="40">
      <c r="B40" s="55" t="inlineStr">
        <is>
          <t>https://www.xiaohongshu.com/explore/695b07d0000000001e0273bb</t>
        </is>
      </c>
    </row>
    <row r="41">
      <c r="B41" s="52" t="inlineStr">
        <is>
          <t>Westwood / Floravale 一带通勤劝退（属个人经历）：</t>
        </is>
      </c>
    </row>
    <row r="42">
      <c r="B42" s="55" t="inlineStr">
        <is>
          <t>https://www.xiaohongshu.com/explore/6a43bbd80000000015026c49</t>
        </is>
      </c>
    </row>
    <row r="43">
      <c r="B43" s="53" t="inlineStr"/>
    </row>
    <row r="44">
      <c r="B44" s="54" t="inlineStr">
        <is>
          <t>五、要加自己的条目，格式长这样</t>
        </is>
      </c>
    </row>
    <row r="45">
      <c r="B45" s="52" t="inlineStr">
        <is>
          <t>直接写到「清单」表已有内容下面的空白行里（淡黄色那些行），分类、阶段、状态都用下拉框选。示例：</t>
        </is>
      </c>
    </row>
    <row r="47">
      <c r="B47" s="6" t="inlineStr">
        <is>
          <t>示例行（照这个格式填，这张表只是演示，不参与统计）</t>
        </is>
      </c>
      <c r="C47" s="29" t="inlineStr">
        <is>
          <t>分类</t>
        </is>
      </c>
      <c r="D47" s="29" t="inlineStr">
        <is>
          <t>阶段</t>
        </is>
      </c>
      <c r="E47" s="29" t="inlineStr">
        <is>
          <t>事项</t>
        </is>
      </c>
      <c r="F47" s="29" t="inlineStr">
        <is>
          <t>状态</t>
        </is>
      </c>
      <c r="G47" s="29" t="inlineStr">
        <is>
          <t>关键</t>
        </is>
      </c>
      <c r="H47" s="29" t="inlineStr">
        <is>
          <t>带法</t>
        </is>
      </c>
      <c r="I47" s="29" t="inlineStr">
        <is>
          <t>预算</t>
        </is>
      </c>
      <c r="J47" s="29" t="inlineStr">
        <is>
          <t>币种</t>
        </is>
      </c>
      <c r="K47" s="29" t="inlineStr">
        <is>
          <t>说明 / 出处</t>
        </is>
      </c>
      <c r="L47" s="29" t="inlineStr">
        <is>
          <t>我的备注</t>
        </is>
      </c>
    </row>
    <row r="48">
      <c r="C48" s="56" t="inlineStr">
        <is>
          <t>行 · 机票行李</t>
        </is>
      </c>
      <c r="D48" s="56" t="inlineStr">
        <is>
          <t>T-7 出发前一周</t>
        </is>
      </c>
      <c r="E48" s="56" t="inlineStr">
        <is>
          <t>买一个行李秤</t>
        </is>
      </c>
      <c r="F48" s="56" t="inlineStr">
        <is>
          <t>未完成</t>
        </is>
      </c>
      <c r="G48" s="56" t="inlineStr"/>
      <c r="H48" s="56" t="inlineStr">
        <is>
          <t>国内带</t>
        </is>
      </c>
      <c r="I48" s="56" t="n">
        <v>60</v>
      </c>
      <c r="J48" s="56" t="inlineStr">
        <is>
          <t>CNY</t>
        </is>
      </c>
      <c r="K48" s="56" t="inlineStr"/>
      <c r="L48" s="56" t="inlineStr">
        <is>
          <t>出发前一晚称一遍</t>
        </is>
      </c>
    </row>
  </sheetData>
  <hyperlinks>
    <hyperlink xmlns:r="http://schemas.openxmlformats.org/officeDocument/2006/relationships" ref="B18" r:id="rId1"/>
    <hyperlink xmlns:r="http://schemas.openxmlformats.org/officeDocument/2006/relationships" ref="B20" r:id="rId2"/>
    <hyperlink xmlns:r="http://schemas.openxmlformats.org/officeDocument/2006/relationships" ref="B22" r:id="rId3"/>
    <hyperlink xmlns:r="http://schemas.openxmlformats.org/officeDocument/2006/relationships" ref="B24" r:id="rId4"/>
    <hyperlink xmlns:r="http://schemas.openxmlformats.org/officeDocument/2006/relationships" ref="B38" r:id="rId5"/>
    <hyperlink xmlns:r="http://schemas.openxmlformats.org/officeDocument/2006/relationships" ref="B39" r:id="rId6"/>
    <hyperlink xmlns:r="http://schemas.openxmlformats.org/officeDocument/2006/relationships" ref="B40" r:id="rId7"/>
    <hyperlink xmlns:r="http://schemas.openxmlformats.org/officeDocument/2006/relationships" ref="B42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2026-09-17T10:16:49Z</dcterms:created>
  <dcterms:modified xsi:type="dcterms:W3CDTF">2026-09-17T10:16:50Z</dcterms:modified>
</cp:coreProperties>
</file>